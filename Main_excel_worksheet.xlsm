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C:\Users\kschwartz\Documents\"/>
    </mc:Choice>
  </mc:AlternateContent>
  <xr:revisionPtr revIDLastSave="0" documentId="8_{5CE52C09-BA7C-4FA0-8498-B84330BDC0E6}" xr6:coauthVersionLast="45" xr6:coauthVersionMax="45" xr10:uidLastSave="{00000000-0000-0000-0000-000000000000}"/>
  <bookViews>
    <workbookView xWindow="28680" yWindow="-120" windowWidth="29040" windowHeight="15840" firstSheet="1" activeTab="1" xr2:uid="{00000000-000D-0000-FFFF-FFFF00000000}"/>
  </bookViews>
  <sheets>
    <sheet name="main_pending_ids_backup" sheetId="11" state="hidden" r:id="rId1"/>
    <sheet name="main_pending_ids" sheetId="1" r:id="rId2"/>
    <sheet name="Sheet1" sheetId="36" r:id="rId3"/>
    <sheet name="すどく_2" sheetId="30" state="hidden" r:id="rId4"/>
    <sheet name="すどく" sheetId="25" r:id="rId5"/>
    <sheet name="CONCAT STDB" sheetId="9" r:id="rId6"/>
    <sheet name="FORMATTERORIGINAL" sheetId="14" state="hidden" r:id="rId7"/>
    <sheet name="FUNCTIONING TESTS" sheetId="13" state="hidden" r:id="rId8"/>
    <sheet name="FORMATTER" sheetId="16" r:id="rId9"/>
    <sheet name="sc stdb names" sheetId="5" r:id="rId10"/>
    <sheet name="dropdown" sheetId="2" r:id="rId11"/>
  </sheets>
  <definedNames>
    <definedName name="list_1thru9">すどく!$R$40:$R$48</definedName>
    <definedName name="timestamp" localSheetId="0">main_pending_ids_backup!#REF!</definedName>
    <definedName name="timestamp">main_pending_ids!#REF!</definedName>
    <definedName name="timstampFormula" localSheetId="0">main_pending_ids_backup!#REF!</definedName>
    <definedName name="timstampFormula">main_pending_ids!#REF!</definedName>
  </definedNames>
  <calcPr calcId="191029" iterate="1" iterateCount="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2" i="25" l="1"/>
  <c r="D12" i="25"/>
  <c r="E12" i="25"/>
  <c r="F12" i="25"/>
  <c r="G12" i="25"/>
  <c r="H12" i="25"/>
  <c r="I12" i="25"/>
  <c r="J12" i="25"/>
  <c r="K12" i="25"/>
  <c r="H4" i="36" l="1"/>
  <c r="I4" i="36"/>
  <c r="J4" i="36"/>
  <c r="H3" i="1" l="1"/>
  <c r="C8" i="16" l="1"/>
  <c r="H19" i="25" l="1"/>
  <c r="Z2" i="25"/>
  <c r="AQ34" i="25" a="1"/>
  <c r="AQ34" i="25" s="1"/>
  <c r="AQ31" i="25" a="1"/>
  <c r="AQ31" i="25" s="1"/>
  <c r="AQ25" i="25" a="1"/>
  <c r="AQ25" i="25" s="1"/>
  <c r="AP34" i="25" a="1"/>
  <c r="AP34" i="25" s="1"/>
  <c r="AP31" i="25" a="1"/>
  <c r="AP31" i="25" s="1"/>
  <c r="AP25" i="25" a="1"/>
  <c r="AP25" i="25" s="1"/>
  <c r="AO34" i="25" a="1"/>
  <c r="AO34" i="25" s="1"/>
  <c r="AO31" i="25" a="1"/>
  <c r="AO31" i="25" s="1"/>
  <c r="AO25" i="25" a="1"/>
  <c r="AO25" i="25" s="1"/>
  <c r="AN34" i="25" a="1"/>
  <c r="AN34" i="25" s="1"/>
  <c r="AN31" i="25" a="1"/>
  <c r="AN31" i="25" s="1"/>
  <c r="AN25" i="25" a="1"/>
  <c r="AN25" i="25" s="1"/>
  <c r="AM34" i="25" a="1"/>
  <c r="AM34" i="25" s="1"/>
  <c r="AM31" i="25" a="1"/>
  <c r="AM31" i="25" s="1"/>
  <c r="AM25" i="25" a="1"/>
  <c r="AM25" i="25" s="1"/>
  <c r="AL34" i="25" a="1"/>
  <c r="AL34" i="25" s="1"/>
  <c r="AL31" i="25" a="1"/>
  <c r="AL31" i="25" s="1"/>
  <c r="AL25" i="25" a="1"/>
  <c r="AL25" i="25" s="1"/>
  <c r="AK34" i="25" a="1"/>
  <c r="AK34" i="25" s="1"/>
  <c r="AK31" i="25" a="1"/>
  <c r="AK31" i="25" s="1"/>
  <c r="AK25" i="25" a="1"/>
  <c r="AK25" i="25" s="1"/>
  <c r="AJ34" i="25" a="1"/>
  <c r="AJ34" i="25" s="1"/>
  <c r="AO37" i="25"/>
  <c r="AL37" i="25"/>
  <c r="AI37" i="25"/>
  <c r="AJ31" i="25" a="1"/>
  <c r="AJ31" i="25" s="1"/>
  <c r="AJ25" i="25" a="1"/>
  <c r="AJ25" i="25" s="1"/>
  <c r="AI34" i="25" a="1"/>
  <c r="AI34" i="25" s="1"/>
  <c r="AI31" i="25" a="1"/>
  <c r="AI31" i="25" s="1"/>
  <c r="AI25" i="25" a="1"/>
  <c r="AI25" i="25" s="1"/>
  <c r="H35" i="1"/>
  <c r="AH34" i="25" l="1"/>
  <c r="Z29" i="25"/>
  <c r="AB30" i="25"/>
  <c r="AC36" i="25"/>
  <c r="AE32" i="25"/>
  <c r="AG32" i="25"/>
  <c r="AF31" i="25"/>
  <c r="AA30" i="25"/>
  <c r="AD30" i="25"/>
  <c r="Z31" i="25"/>
  <c r="AC30" i="25"/>
  <c r="AG30" i="25"/>
  <c r="AB29" i="25"/>
  <c r="AF29" i="25"/>
  <c r="AC25" i="25"/>
  <c r="AG33" i="25"/>
  <c r="AC33" i="25"/>
  <c r="AA25" i="25"/>
  <c r="AD31" i="25"/>
  <c r="AH31" i="25"/>
  <c r="AA34" i="25"/>
  <c r="AD34" i="25"/>
  <c r="AH30" i="25"/>
  <c r="AE35" i="25"/>
  <c r="AF36" i="25"/>
  <c r="AG25" i="25"/>
  <c r="AG29" i="25"/>
  <c r="Z33" i="25"/>
  <c r="AA29" i="25"/>
  <c r="AB31" i="25"/>
  <c r="AC32" i="25"/>
  <c r="AD33" i="25"/>
  <c r="AE34" i="25"/>
  <c r="AF35" i="25"/>
  <c r="AG36" i="25"/>
  <c r="AH25" i="25"/>
  <c r="AH29" i="25"/>
  <c r="Z36" i="25"/>
  <c r="AA32" i="25"/>
  <c r="AB34" i="25"/>
  <c r="AC35" i="25"/>
  <c r="AD36" i="25"/>
  <c r="AE25" i="25"/>
  <c r="AE29" i="25"/>
  <c r="AF34" i="25"/>
  <c r="AF30" i="25"/>
  <c r="AG35" i="25"/>
  <c r="AG31" i="25"/>
  <c r="AH36" i="25"/>
  <c r="AH32" i="25"/>
  <c r="Z34" i="25"/>
  <c r="Z30" i="25"/>
  <c r="AB36" i="25"/>
  <c r="AB32" i="25"/>
  <c r="AC29" i="25"/>
  <c r="AE31" i="25"/>
  <c r="AF32" i="25"/>
  <c r="Z25" i="25"/>
  <c r="AA33" i="25"/>
  <c r="AB35" i="25"/>
  <c r="AD25" i="25"/>
  <c r="AD29" i="25"/>
  <c r="AE30" i="25"/>
  <c r="AH33" i="25"/>
  <c r="Z32" i="25"/>
  <c r="AA36" i="25"/>
  <c r="AB25" i="25"/>
  <c r="AC31" i="25"/>
  <c r="AD32" i="25"/>
  <c r="AE33" i="25"/>
  <c r="Z35" i="25"/>
  <c r="AA35" i="25"/>
  <c r="AA31" i="25"/>
  <c r="AB33" i="25"/>
  <c r="AC34" i="25"/>
  <c r="AD35" i="25"/>
  <c r="AE36" i="25"/>
  <c r="AF25" i="25"/>
  <c r="AF33" i="25"/>
  <c r="AG34" i="25"/>
  <c r="AH35" i="25"/>
  <c r="AD37" i="25" l="1"/>
  <c r="F17" i="25" s="1"/>
  <c r="AA37" i="25"/>
  <c r="F16" i="25" s="1"/>
  <c r="AC37" i="25"/>
  <c r="E17" i="25" s="1"/>
  <c r="AH37" i="25"/>
  <c r="G18" i="25" s="1"/>
  <c r="AB37" i="25"/>
  <c r="G16" i="25" s="1"/>
  <c r="AE37" i="25"/>
  <c r="G17" i="25" s="1"/>
  <c r="AF37" i="25"/>
  <c r="E18" i="25" s="1"/>
  <c r="Z37" i="25"/>
  <c r="E16" i="25" s="1"/>
  <c r="AG37" i="25"/>
  <c r="F18" i="25" s="1"/>
  <c r="AI13" i="25" l="1" a="1"/>
  <c r="AI13" i="25" s="1"/>
  <c r="AB2" i="25"/>
  <c r="AA2" i="25"/>
  <c r="AD3" i="25"/>
  <c r="AE3" i="25"/>
  <c r="AF3" i="25"/>
  <c r="AG3" i="25"/>
  <c r="AH3" i="25"/>
  <c r="AD4" i="25"/>
  <c r="AE4" i="25"/>
  <c r="AF4" i="25"/>
  <c r="AG4" i="25"/>
  <c r="AH4" i="25"/>
  <c r="AD5" i="25"/>
  <c r="AE5" i="25"/>
  <c r="AF5" i="25"/>
  <c r="AG5" i="25"/>
  <c r="AH5" i="25"/>
  <c r="AD6" i="25"/>
  <c r="AE6" i="25"/>
  <c r="AF6" i="25"/>
  <c r="AG6" i="25"/>
  <c r="AH6" i="25"/>
  <c r="AD7" i="25"/>
  <c r="AE7" i="25"/>
  <c r="AF7" i="25"/>
  <c r="AG7" i="25"/>
  <c r="AH7" i="25"/>
  <c r="AD8" i="25"/>
  <c r="AE8" i="25"/>
  <c r="AF8" i="25"/>
  <c r="AG8" i="25"/>
  <c r="AH8" i="25"/>
  <c r="AD9" i="25"/>
  <c r="AE9" i="25"/>
  <c r="AF9" i="25"/>
  <c r="AG9" i="25"/>
  <c r="AH9" i="25"/>
  <c r="AD10" i="25"/>
  <c r="AE10" i="25"/>
  <c r="AF10" i="25"/>
  <c r="AG10" i="25"/>
  <c r="AH10" i="25"/>
  <c r="AD2" i="25"/>
  <c r="AE2" i="25"/>
  <c r="AF2" i="25"/>
  <c r="AG2" i="25"/>
  <c r="AH2" i="25"/>
  <c r="AC3" i="25"/>
  <c r="AC4" i="25"/>
  <c r="AC5" i="25"/>
  <c r="AC6" i="25"/>
  <c r="AC7" i="25"/>
  <c r="AC8" i="25"/>
  <c r="AC9" i="25"/>
  <c r="AC10" i="25"/>
  <c r="AC2" i="25"/>
  <c r="AB3" i="25"/>
  <c r="AB4" i="25"/>
  <c r="AB5" i="25"/>
  <c r="AB6" i="25"/>
  <c r="AB7" i="25"/>
  <c r="AB8" i="25"/>
  <c r="AB9" i="25"/>
  <c r="AB10" i="25"/>
  <c r="AA3" i="25"/>
  <c r="AA4" i="25"/>
  <c r="AA5" i="25"/>
  <c r="AA6" i="25"/>
  <c r="AA7" i="25"/>
  <c r="AA8" i="25"/>
  <c r="AA9" i="25"/>
  <c r="AA10" i="25"/>
  <c r="Z3" i="25"/>
  <c r="Z4" i="25"/>
  <c r="Z5" i="25"/>
  <c r="Z6" i="25"/>
  <c r="Z7" i="25"/>
  <c r="Z8" i="25"/>
  <c r="Z9" i="25"/>
  <c r="Z10" i="25"/>
  <c r="O33" i="25"/>
  <c r="O34" i="25"/>
  <c r="O35" i="25"/>
  <c r="O36" i="25"/>
  <c r="O37" i="25"/>
  <c r="O38" i="25"/>
  <c r="O39" i="25"/>
  <c r="O40" i="25"/>
  <c r="O32" i="25"/>
  <c r="Z15" i="25" l="1"/>
  <c r="Z13" i="25"/>
  <c r="AH11" i="25"/>
  <c r="K13" i="25" s="1"/>
  <c r="AF11" i="25"/>
  <c r="I13" i="25" s="1"/>
  <c r="AC11" i="25"/>
  <c r="F13" i="25" s="1"/>
  <c r="AA11" i="25"/>
  <c r="D13" i="25" s="1"/>
  <c r="AD11" i="25"/>
  <c r="G13" i="25" s="1"/>
  <c r="AB11" i="25"/>
  <c r="E13" i="25" s="1"/>
  <c r="AG11" i="25"/>
  <c r="J13" i="25" s="1"/>
  <c r="AE11" i="25"/>
  <c r="H13" i="25" s="1"/>
  <c r="Z21" i="25"/>
  <c r="AA19" i="25"/>
  <c r="AC13" i="25"/>
  <c r="AC20" i="25"/>
  <c r="AD17" i="25"/>
  <c r="AE15" i="25"/>
  <c r="AF17" i="25"/>
  <c r="AG15" i="25"/>
  <c r="AH18" i="25"/>
  <c r="Z20" i="25"/>
  <c r="Z14" i="25"/>
  <c r="AA18" i="25"/>
  <c r="AG13" i="25"/>
  <c r="AB21" i="25"/>
  <c r="AB16" i="25"/>
  <c r="AC19" i="25"/>
  <c r="AD21" i="25"/>
  <c r="AD16" i="25"/>
  <c r="AE19" i="25"/>
  <c r="AF21" i="25"/>
  <c r="AF16" i="25"/>
  <c r="AG19" i="25"/>
  <c r="AH13" i="25"/>
  <c r="AH17" i="25"/>
  <c r="Z18" i="25"/>
  <c r="AA13" i="25"/>
  <c r="AA17" i="25"/>
  <c r="AE13" i="25"/>
  <c r="AB20" i="25"/>
  <c r="AB15" i="25"/>
  <c r="AC17" i="25"/>
  <c r="AD20" i="25"/>
  <c r="AD15" i="25"/>
  <c r="AE17" i="25"/>
  <c r="AF20" i="25"/>
  <c r="AF15" i="25"/>
  <c r="AG17" i="25"/>
  <c r="AH21" i="25"/>
  <c r="AH16" i="25"/>
  <c r="Z16" i="25"/>
  <c r="AA14" i="25"/>
  <c r="AB17" i="25"/>
  <c r="AC15" i="25"/>
  <c r="AE20" i="25"/>
  <c r="AG20" i="25"/>
  <c r="Z17" i="25"/>
  <c r="AA21" i="25"/>
  <c r="AA15" i="25"/>
  <c r="AD13" i="25"/>
  <c r="AB19" i="25"/>
  <c r="AC21" i="25"/>
  <c r="AC16" i="25"/>
  <c r="AD19" i="25"/>
  <c r="AE21" i="25"/>
  <c r="AE16" i="25"/>
  <c r="AF19" i="25"/>
  <c r="AG21" i="25"/>
  <c r="AG16" i="25"/>
  <c r="AH20" i="25"/>
  <c r="AH14" i="25"/>
  <c r="Z11" i="25"/>
  <c r="C13" i="25" s="1"/>
  <c r="Z19" i="25"/>
  <c r="AA20" i="25"/>
  <c r="AA16" i="25"/>
  <c r="AF13" i="25"/>
  <c r="AB13" i="25"/>
  <c r="AB18" i="25"/>
  <c r="AB14" i="25"/>
  <c r="AC18" i="25"/>
  <c r="AC14" i="25"/>
  <c r="AD18" i="25"/>
  <c r="AD14" i="25"/>
  <c r="AE18" i="25"/>
  <c r="AE14" i="25"/>
  <c r="AF18" i="25"/>
  <c r="AF14" i="25"/>
  <c r="AG18" i="25"/>
  <c r="AG14" i="25"/>
  <c r="AH19" i="25"/>
  <c r="AH15" i="25"/>
  <c r="AE22" i="25" l="1"/>
  <c r="N7" i="25" s="1"/>
  <c r="Z22" i="25"/>
  <c r="N2" i="25" s="1"/>
  <c r="AH22" i="25"/>
  <c r="N10" i="25" s="1"/>
  <c r="AD22" i="25"/>
  <c r="N6" i="25" s="1"/>
  <c r="AA22" i="25"/>
  <c r="N3" i="25" s="1"/>
  <c r="AG22" i="25"/>
  <c r="N9" i="25" s="1"/>
  <c r="AC22" i="25"/>
  <c r="N5" i="25" s="1"/>
  <c r="AB22" i="25"/>
  <c r="N4" i="25" s="1"/>
  <c r="AF22" i="25"/>
  <c r="N8" i="25" s="1"/>
  <c r="M2" i="25"/>
  <c r="O8" i="25" l="1"/>
  <c r="V3" i="25" l="1"/>
  <c r="V4" i="25"/>
  <c r="R4" i="25" s="1"/>
  <c r="V5" i="25"/>
  <c r="V6" i="25"/>
  <c r="V7" i="25"/>
  <c r="V8" i="25"/>
  <c r="V9" i="25"/>
  <c r="V10" i="25"/>
  <c r="V11" i="25"/>
  <c r="V12" i="25"/>
  <c r="V13" i="25"/>
  <c r="V15" i="25"/>
  <c r="V16" i="25"/>
  <c r="V17" i="25"/>
  <c r="V18" i="25"/>
  <c r="V2" i="25"/>
  <c r="R2" i="25" s="1"/>
  <c r="U3" i="25"/>
  <c r="U4" i="25"/>
  <c r="Q4" i="25" s="1"/>
  <c r="U5" i="25"/>
  <c r="U6" i="25"/>
  <c r="Q6" i="25" s="1"/>
  <c r="U7" i="25"/>
  <c r="U8" i="25"/>
  <c r="Q8" i="25" s="1"/>
  <c r="U9" i="25"/>
  <c r="U10" i="25"/>
  <c r="U11" i="25"/>
  <c r="U12" i="25"/>
  <c r="U13" i="25"/>
  <c r="U15" i="25"/>
  <c r="U16" i="25"/>
  <c r="U17" i="25"/>
  <c r="U18" i="25"/>
  <c r="U2" i="25"/>
  <c r="T3" i="25"/>
  <c r="T4" i="25"/>
  <c r="T5" i="25"/>
  <c r="T6" i="25"/>
  <c r="T7" i="25"/>
  <c r="P7" i="25" s="1"/>
  <c r="T8" i="25"/>
  <c r="T9" i="25"/>
  <c r="T10" i="25"/>
  <c r="P10" i="25" s="1"/>
  <c r="T11" i="25"/>
  <c r="T12" i="25"/>
  <c r="T13" i="25"/>
  <c r="T15" i="25"/>
  <c r="T16" i="25"/>
  <c r="T17" i="25"/>
  <c r="T18" i="25"/>
  <c r="T2" i="25"/>
  <c r="O10" i="25"/>
  <c r="O9" i="25"/>
  <c r="F34" i="30"/>
  <c r="E34" i="30"/>
  <c r="D34" i="30"/>
  <c r="F33" i="30"/>
  <c r="E33" i="30"/>
  <c r="D33" i="30"/>
  <c r="F32" i="30"/>
  <c r="E32" i="30"/>
  <c r="D32" i="30"/>
  <c r="L28" i="30"/>
  <c r="K28" i="30"/>
  <c r="L27" i="30"/>
  <c r="K27" i="30"/>
  <c r="L26" i="30"/>
  <c r="K26" i="30"/>
  <c r="L25" i="30"/>
  <c r="K25" i="30"/>
  <c r="L24" i="30"/>
  <c r="K24" i="30"/>
  <c r="L23" i="30"/>
  <c r="K23" i="30"/>
  <c r="L22" i="30"/>
  <c r="K22" i="30"/>
  <c r="L21" i="30"/>
  <c r="K21" i="30"/>
  <c r="L20" i="30"/>
  <c r="K20" i="30"/>
  <c r="E20" i="30" s="1"/>
  <c r="F20" i="30"/>
  <c r="J12" i="30"/>
  <c r="I12" i="30"/>
  <c r="H12" i="30"/>
  <c r="G12" i="30"/>
  <c r="F12" i="30"/>
  <c r="E12" i="30"/>
  <c r="D12" i="30"/>
  <c r="C12" i="30"/>
  <c r="B12" i="30"/>
  <c r="L10" i="30"/>
  <c r="L9" i="30"/>
  <c r="L8" i="30"/>
  <c r="L7" i="30"/>
  <c r="L6" i="30"/>
  <c r="L5" i="30"/>
  <c r="L4" i="30"/>
  <c r="L3" i="30"/>
  <c r="L2" i="30"/>
  <c r="L1" i="30"/>
  <c r="M7" i="25"/>
  <c r="M8" i="25"/>
  <c r="M9" i="25"/>
  <c r="M3" i="25"/>
  <c r="M4" i="25"/>
  <c r="M5" i="25"/>
  <c r="M10" i="25"/>
  <c r="M6" i="25"/>
  <c r="H23" i="1"/>
  <c r="L28" i="16"/>
  <c r="P5" i="25" l="1"/>
  <c r="P8" i="25"/>
  <c r="Q2" i="25"/>
  <c r="Q5" i="25"/>
  <c r="R6" i="25"/>
  <c r="P4" i="25"/>
  <c r="P3" i="25"/>
  <c r="R10" i="25"/>
  <c r="A11" i="1" l="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l="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l="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M28" i="16" l="1"/>
  <c r="O28" i="16" s="1"/>
  <c r="N28" i="16"/>
  <c r="B36" i="9" l="1" a="1"/>
  <c r="B36" i="9" s="1"/>
  <c r="A36" i="9" a="1"/>
  <c r="A36" i="9" s="1"/>
  <c r="E36" i="9" a="1"/>
  <c r="E36" i="9" s="1"/>
  <c r="D36" i="9" a="1"/>
  <c r="D36" i="9" s="1"/>
  <c r="C36" i="9" a="1"/>
  <c r="C36" i="9" s="1"/>
  <c r="O13" i="16" l="1"/>
  <c r="O11" i="16"/>
  <c r="O12" i="16"/>
  <c r="O14" i="16"/>
  <c r="O15" i="16"/>
  <c r="O16" i="16"/>
  <c r="O17" i="16"/>
  <c r="O18" i="16"/>
  <c r="O19" i="16"/>
  <c r="O20" i="16"/>
  <c r="O21" i="16"/>
  <c r="O22" i="16"/>
  <c r="O10" i="16"/>
  <c r="N74" i="5" l="1"/>
  <c r="A12" i="16" l="1"/>
  <c r="A8" i="16" s="1"/>
  <c r="O34" i="14"/>
  <c r="M31" i="14" l="1"/>
  <c r="L31" i="14"/>
  <c r="K31" i="14"/>
  <c r="I10" i="14"/>
  <c r="A10" i="14"/>
  <c r="G5" i="14"/>
  <c r="F5" i="14"/>
  <c r="E5" i="14"/>
  <c r="A34" i="14" l="1"/>
  <c r="B42" i="14" s="1"/>
  <c r="B44" i="5"/>
  <c r="N44" i="5"/>
  <c r="C37" i="9" l="1"/>
  <c r="A37" i="9"/>
  <c r="B37" i="9"/>
  <c r="D37" i="9"/>
  <c r="E37" i="9"/>
  <c r="I5" i="1"/>
  <c r="H7" i="1" s="1"/>
  <c r="A41" i="5" l="1"/>
  <c r="A42" i="5"/>
  <c r="M49" i="5"/>
  <c r="N49" i="5"/>
  <c r="M50" i="5"/>
  <c r="N50" i="5"/>
  <c r="M51" i="5"/>
  <c r="N51" i="5"/>
  <c r="M52" i="5"/>
  <c r="N52" i="5"/>
  <c r="M53" i="5"/>
  <c r="N53" i="5"/>
  <c r="M54" i="5"/>
  <c r="N54" i="5"/>
  <c r="M55" i="5"/>
  <c r="N55" i="5"/>
  <c r="M56" i="5"/>
  <c r="N56" i="5"/>
  <c r="M57" i="5"/>
  <c r="N57" i="5"/>
  <c r="M58" i="5"/>
  <c r="N58" i="5"/>
  <c r="M59" i="5"/>
  <c r="N59" i="5"/>
  <c r="M60" i="5"/>
  <c r="N60" i="5"/>
  <c r="M61" i="5"/>
  <c r="N61" i="5"/>
  <c r="M62" i="5"/>
  <c r="N62" i="5"/>
  <c r="M63" i="5"/>
  <c r="N63" i="5"/>
  <c r="M64" i="5"/>
  <c r="N64" i="5"/>
  <c r="M65" i="5"/>
  <c r="N65" i="5"/>
  <c r="M66" i="5"/>
  <c r="N66" i="5"/>
  <c r="M67" i="5"/>
  <c r="N67" i="5"/>
  <c r="M68" i="5"/>
  <c r="N68" i="5"/>
  <c r="M69" i="5"/>
  <c r="N69" i="5"/>
  <c r="M70" i="5"/>
  <c r="N70" i="5"/>
  <c r="M71" i="5"/>
  <c r="N71" i="5"/>
  <c r="M72" i="5"/>
  <c r="N72" i="5"/>
  <c r="M73" i="5"/>
  <c r="N73" i="5"/>
  <c r="M74" i="5"/>
  <c r="M75" i="5"/>
  <c r="N75" i="5"/>
  <c r="M76" i="5"/>
  <c r="N76" i="5"/>
  <c r="M77" i="5"/>
  <c r="N77" i="5"/>
  <c r="M78" i="5"/>
  <c r="N78" i="5"/>
  <c r="M79" i="5"/>
  <c r="N79" i="5"/>
  <c r="M80" i="5"/>
  <c r="N80" i="5"/>
  <c r="M81" i="5"/>
  <c r="N81" i="5"/>
  <c r="M82" i="5"/>
  <c r="N82" i="5"/>
  <c r="M83" i="5"/>
  <c r="N83" i="5"/>
  <c r="M84" i="5"/>
  <c r="N84" i="5"/>
  <c r="M85" i="5"/>
  <c r="N85" i="5"/>
  <c r="M86" i="5"/>
  <c r="N86" i="5"/>
  <c r="M87" i="5"/>
  <c r="N87" i="5"/>
  <c r="M88" i="5"/>
  <c r="N88" i="5"/>
  <c r="M89" i="5"/>
  <c r="N89" i="5"/>
  <c r="M90" i="5"/>
  <c r="N90" i="5"/>
  <c r="M91" i="5"/>
  <c r="N91" i="5"/>
  <c r="M92" i="5"/>
  <c r="N92" i="5"/>
  <c r="M93" i="5"/>
  <c r="N93" i="5"/>
  <c r="M94" i="5"/>
  <c r="N94" i="5"/>
  <c r="M95" i="5"/>
  <c r="N95" i="5"/>
  <c r="M96" i="5"/>
  <c r="N96" i="5"/>
  <c r="M97" i="5"/>
  <c r="N97" i="5"/>
  <c r="M98" i="5"/>
  <c r="N98" i="5"/>
  <c r="M99" i="5"/>
  <c r="N99" i="5"/>
  <c r="M100" i="5"/>
  <c r="N100" i="5"/>
  <c r="M101" i="5"/>
  <c r="N101" i="5"/>
  <c r="M102" i="5"/>
  <c r="N102" i="5"/>
  <c r="M103" i="5"/>
  <c r="N103" i="5"/>
  <c r="M104" i="5"/>
  <c r="N104" i="5"/>
  <c r="M105" i="5"/>
  <c r="N105" i="5"/>
  <c r="M106" i="5"/>
  <c r="N106" i="5"/>
  <c r="M107" i="5"/>
  <c r="N107" i="5"/>
  <c r="M108" i="5"/>
  <c r="N108" i="5"/>
  <c r="M109" i="5"/>
  <c r="N109" i="5"/>
  <c r="M110" i="5"/>
  <c r="N110" i="5"/>
  <c r="M111" i="5"/>
  <c r="N111" i="5"/>
  <c r="M112" i="5"/>
  <c r="N112" i="5"/>
  <c r="M113" i="5"/>
  <c r="N113" i="5"/>
  <c r="M114" i="5"/>
  <c r="N114" i="5"/>
  <c r="M115" i="5"/>
  <c r="N115" i="5"/>
  <c r="M116" i="5"/>
  <c r="N116" i="5"/>
  <c r="M117" i="5"/>
  <c r="N117" i="5"/>
  <c r="M118" i="5"/>
  <c r="N118" i="5"/>
  <c r="M119" i="5"/>
  <c r="N119" i="5"/>
  <c r="M120" i="5"/>
  <c r="N120" i="5"/>
  <c r="M121" i="5"/>
  <c r="N121" i="5"/>
  <c r="M122" i="5"/>
  <c r="N122" i="5"/>
  <c r="M123" i="5"/>
  <c r="N123" i="5"/>
  <c r="M124" i="5"/>
  <c r="N124" i="5"/>
  <c r="M125" i="5"/>
  <c r="N125" i="5"/>
  <c r="M126" i="5"/>
  <c r="N126" i="5"/>
  <c r="M127" i="5"/>
  <c r="N127" i="5"/>
  <c r="M128" i="5"/>
  <c r="N128" i="5"/>
  <c r="M129" i="5"/>
  <c r="N129" i="5"/>
  <c r="M130" i="5"/>
  <c r="N130" i="5"/>
  <c r="M131" i="5"/>
  <c r="N131" i="5"/>
  <c r="M132" i="5"/>
  <c r="N132" i="5"/>
  <c r="M133" i="5"/>
  <c r="N133" i="5"/>
  <c r="M134" i="5"/>
  <c r="N134" i="5"/>
  <c r="M135" i="5"/>
  <c r="N135" i="5"/>
  <c r="M136" i="5"/>
  <c r="N136" i="5"/>
  <c r="M137" i="5"/>
  <c r="N137" i="5"/>
  <c r="M138" i="5"/>
  <c r="N138" i="5"/>
  <c r="M139" i="5"/>
  <c r="N139" i="5"/>
  <c r="M140" i="5"/>
  <c r="N140" i="5"/>
  <c r="M141" i="5"/>
  <c r="N141" i="5"/>
  <c r="M142" i="5"/>
  <c r="N142" i="5"/>
  <c r="M143" i="5"/>
  <c r="N143" i="5"/>
  <c r="M144" i="5"/>
  <c r="N144" i="5"/>
  <c r="M145" i="5"/>
  <c r="N145" i="5"/>
  <c r="M146" i="5"/>
  <c r="N146" i="5"/>
  <c r="M147" i="5"/>
  <c r="N147" i="5"/>
  <c r="M148" i="5"/>
  <c r="N148" i="5"/>
  <c r="M149" i="5"/>
  <c r="N149" i="5"/>
  <c r="M150" i="5"/>
  <c r="N150" i="5"/>
  <c r="M151" i="5"/>
  <c r="N151" i="5"/>
  <c r="M152" i="5"/>
  <c r="N152" i="5"/>
  <c r="M153" i="5"/>
  <c r="N153" i="5"/>
  <c r="M154" i="5"/>
  <c r="N154" i="5"/>
  <c r="M155" i="5"/>
  <c r="N155" i="5"/>
  <c r="M156" i="5"/>
  <c r="N156" i="5"/>
  <c r="M157" i="5"/>
  <c r="N157" i="5"/>
  <c r="M158" i="5"/>
  <c r="N158" i="5"/>
  <c r="M159" i="5"/>
  <c r="N159" i="5"/>
  <c r="M160" i="5"/>
  <c r="N160" i="5"/>
  <c r="M161" i="5"/>
  <c r="N161" i="5"/>
  <c r="M162" i="5"/>
  <c r="N162" i="5"/>
  <c r="M163" i="5"/>
  <c r="N163" i="5"/>
  <c r="M164" i="5"/>
  <c r="N164" i="5"/>
  <c r="M165" i="5"/>
  <c r="N165" i="5"/>
  <c r="M166" i="5"/>
  <c r="N166" i="5"/>
  <c r="M167" i="5"/>
  <c r="N167" i="5"/>
  <c r="M168" i="5"/>
  <c r="N168" i="5"/>
  <c r="M169" i="5"/>
  <c r="N169" i="5"/>
  <c r="M170" i="5"/>
  <c r="N170" i="5"/>
  <c r="M171" i="5"/>
  <c r="N171" i="5"/>
  <c r="M172" i="5"/>
  <c r="N172" i="5"/>
  <c r="M173" i="5"/>
  <c r="N173" i="5"/>
  <c r="M174" i="5"/>
  <c r="N174" i="5"/>
  <c r="M175" i="5"/>
  <c r="N175" i="5"/>
  <c r="M176" i="5"/>
  <c r="N176" i="5"/>
  <c r="M177" i="5"/>
  <c r="N177" i="5"/>
  <c r="M178" i="5"/>
  <c r="N178" i="5"/>
  <c r="M179" i="5"/>
  <c r="N179" i="5"/>
  <c r="M180" i="5"/>
  <c r="N180" i="5"/>
  <c r="M181" i="5"/>
  <c r="N181" i="5"/>
  <c r="M182" i="5"/>
  <c r="N182" i="5"/>
  <c r="M183" i="5"/>
  <c r="N183" i="5"/>
  <c r="M184" i="5"/>
  <c r="N184" i="5"/>
  <c r="M185" i="5"/>
  <c r="N185" i="5"/>
  <c r="M186" i="5"/>
  <c r="N186" i="5"/>
  <c r="M187" i="5"/>
  <c r="N187" i="5"/>
  <c r="M188" i="5"/>
  <c r="N188" i="5"/>
  <c r="M189" i="5"/>
  <c r="N189" i="5"/>
  <c r="M190" i="5"/>
  <c r="N190" i="5"/>
  <c r="M191" i="5"/>
  <c r="N191" i="5"/>
  <c r="M192" i="5"/>
  <c r="N192" i="5"/>
  <c r="M193" i="5"/>
  <c r="N193" i="5"/>
  <c r="M194" i="5"/>
  <c r="N194" i="5"/>
  <c r="M195" i="5"/>
  <c r="N195" i="5"/>
  <c r="M196" i="5"/>
  <c r="N196" i="5"/>
  <c r="M197" i="5"/>
  <c r="N197" i="5"/>
  <c r="M198" i="5"/>
  <c r="N198" i="5"/>
  <c r="M199" i="5"/>
  <c r="N199" i="5"/>
  <c r="M200" i="5"/>
  <c r="N200" i="5"/>
  <c r="M201" i="5"/>
  <c r="N201" i="5"/>
  <c r="M202" i="5"/>
  <c r="N202" i="5"/>
  <c r="M203" i="5"/>
  <c r="N203" i="5"/>
  <c r="M204" i="5"/>
  <c r="N204" i="5"/>
  <c r="M205" i="5"/>
  <c r="N205" i="5"/>
  <c r="M206" i="5"/>
  <c r="N206" i="5"/>
  <c r="M207" i="5"/>
  <c r="N207" i="5"/>
  <c r="M208" i="5"/>
  <c r="N208" i="5"/>
  <c r="M209" i="5"/>
  <c r="N209" i="5"/>
  <c r="M210" i="5"/>
  <c r="N210" i="5"/>
  <c r="M211" i="5"/>
  <c r="N211" i="5"/>
  <c r="M212" i="5"/>
  <c r="N212" i="5"/>
  <c r="M213" i="5"/>
  <c r="N213" i="5"/>
  <c r="M214" i="5"/>
  <c r="N214" i="5"/>
  <c r="M215" i="5"/>
  <c r="N215" i="5"/>
  <c r="M216" i="5"/>
  <c r="N216" i="5"/>
  <c r="M217" i="5"/>
  <c r="N217" i="5"/>
  <c r="M218" i="5"/>
  <c r="N218" i="5"/>
  <c r="M219" i="5"/>
  <c r="N219" i="5"/>
  <c r="M220" i="5"/>
  <c r="N220" i="5"/>
  <c r="M221" i="5"/>
  <c r="N221" i="5"/>
  <c r="M222" i="5"/>
  <c r="N222" i="5"/>
  <c r="M223" i="5"/>
  <c r="N223" i="5"/>
  <c r="M224" i="5"/>
  <c r="N224" i="5"/>
  <c r="M225" i="5"/>
  <c r="N225" i="5"/>
  <c r="M226" i="5"/>
  <c r="N226" i="5"/>
  <c r="M227" i="5"/>
  <c r="N227" i="5"/>
  <c r="M228" i="5"/>
  <c r="N228" i="5"/>
  <c r="M229" i="5"/>
  <c r="N229" i="5"/>
  <c r="M230" i="5"/>
  <c r="N230" i="5"/>
  <c r="M231" i="5"/>
  <c r="N231" i="5"/>
  <c r="M232" i="5"/>
  <c r="N232" i="5"/>
  <c r="M233" i="5"/>
  <c r="N233" i="5"/>
  <c r="M234" i="5"/>
  <c r="N234" i="5"/>
  <c r="M235" i="5"/>
  <c r="N235" i="5"/>
  <c r="M236" i="5"/>
  <c r="N236" i="5"/>
  <c r="M237" i="5"/>
  <c r="N237" i="5"/>
  <c r="M238" i="5"/>
  <c r="N238" i="5"/>
  <c r="M239" i="5"/>
  <c r="N239" i="5"/>
  <c r="M240" i="5"/>
  <c r="N240" i="5"/>
  <c r="M241" i="5"/>
  <c r="N241" i="5"/>
  <c r="M242" i="5"/>
  <c r="N242" i="5"/>
  <c r="M243" i="5"/>
  <c r="N243" i="5"/>
  <c r="M244" i="5"/>
  <c r="N244" i="5"/>
  <c r="M245" i="5"/>
  <c r="N245" i="5"/>
  <c r="M246" i="5"/>
  <c r="N246" i="5"/>
  <c r="M247" i="5"/>
  <c r="N247" i="5"/>
  <c r="M248" i="5"/>
  <c r="N248" i="5"/>
  <c r="M249" i="5"/>
  <c r="N249" i="5"/>
  <c r="M250" i="5"/>
  <c r="N250" i="5"/>
  <c r="M251" i="5"/>
  <c r="N251" i="5"/>
  <c r="M252" i="5"/>
  <c r="N252" i="5"/>
  <c r="M253" i="5"/>
  <c r="N253" i="5"/>
  <c r="M254" i="5"/>
  <c r="N254" i="5"/>
  <c r="M255" i="5"/>
  <c r="N255" i="5"/>
  <c r="M256" i="5"/>
  <c r="N256" i="5"/>
  <c r="M257" i="5"/>
  <c r="N257" i="5"/>
  <c r="M258" i="5"/>
  <c r="N258" i="5"/>
  <c r="M259" i="5"/>
  <c r="N259" i="5"/>
  <c r="M260" i="5"/>
  <c r="N260" i="5"/>
  <c r="M261" i="5"/>
  <c r="N261" i="5"/>
  <c r="M262" i="5"/>
  <c r="N262" i="5"/>
  <c r="M263" i="5"/>
  <c r="N263" i="5"/>
  <c r="M264" i="5"/>
  <c r="N264" i="5"/>
  <c r="M265" i="5"/>
  <c r="N265" i="5"/>
  <c r="M266" i="5"/>
  <c r="N266" i="5"/>
  <c r="M267" i="5"/>
  <c r="N267" i="5"/>
  <c r="M268" i="5"/>
  <c r="N268" i="5"/>
  <c r="M269" i="5"/>
  <c r="N269" i="5"/>
  <c r="M270" i="5"/>
  <c r="N270" i="5"/>
  <c r="M271" i="5"/>
  <c r="N271" i="5"/>
  <c r="M272" i="5"/>
  <c r="N272" i="5"/>
  <c r="M273" i="5"/>
  <c r="N273" i="5"/>
  <c r="M274" i="5"/>
  <c r="N274" i="5"/>
  <c r="M275" i="5"/>
  <c r="N275" i="5"/>
  <c r="M276" i="5"/>
  <c r="N276" i="5"/>
  <c r="M277" i="5"/>
  <c r="N277" i="5"/>
  <c r="M278" i="5"/>
  <c r="N278" i="5"/>
  <c r="M279" i="5"/>
  <c r="N279" i="5"/>
  <c r="M280" i="5"/>
  <c r="N280" i="5"/>
  <c r="M281" i="5"/>
  <c r="N281" i="5"/>
  <c r="M282" i="5"/>
  <c r="N282" i="5"/>
  <c r="M283" i="5"/>
  <c r="N283" i="5"/>
  <c r="M284" i="5"/>
  <c r="N284" i="5"/>
  <c r="M285" i="5"/>
  <c r="N285" i="5"/>
  <c r="M286" i="5"/>
  <c r="N286" i="5"/>
  <c r="M287" i="5"/>
  <c r="N287" i="5"/>
  <c r="M288" i="5"/>
  <c r="N288" i="5"/>
  <c r="M289" i="5"/>
  <c r="N289" i="5"/>
  <c r="M290" i="5"/>
  <c r="N290" i="5"/>
  <c r="M291" i="5"/>
  <c r="N291" i="5"/>
  <c r="M292" i="5"/>
  <c r="N292" i="5"/>
  <c r="M293" i="5"/>
  <c r="N293" i="5"/>
  <c r="M294" i="5"/>
  <c r="N294" i="5"/>
  <c r="M295" i="5"/>
  <c r="N295" i="5"/>
  <c r="M296" i="5"/>
  <c r="N296" i="5"/>
  <c r="M297" i="5"/>
  <c r="N297" i="5"/>
  <c r="M298" i="5"/>
  <c r="N298" i="5"/>
  <c r="M299" i="5"/>
  <c r="N299" i="5"/>
  <c r="M300" i="5"/>
  <c r="N300" i="5"/>
  <c r="M301" i="5"/>
  <c r="N301" i="5"/>
  <c r="M302" i="5"/>
  <c r="N302" i="5"/>
  <c r="M303" i="5"/>
  <c r="N303" i="5"/>
  <c r="M304" i="5"/>
  <c r="N304" i="5"/>
  <c r="M305" i="5"/>
  <c r="N305" i="5"/>
  <c r="M306" i="5"/>
  <c r="N306" i="5"/>
  <c r="M307" i="5"/>
  <c r="N307" i="5"/>
  <c r="M308" i="5"/>
  <c r="N308" i="5"/>
  <c r="M309" i="5"/>
  <c r="N309" i="5"/>
  <c r="M310" i="5"/>
  <c r="N310" i="5"/>
  <c r="M311" i="5"/>
  <c r="N311" i="5"/>
  <c r="M312" i="5"/>
  <c r="N312" i="5"/>
  <c r="M313" i="5"/>
  <c r="N313" i="5"/>
  <c r="M314" i="5"/>
  <c r="N314" i="5"/>
  <c r="M315" i="5"/>
  <c r="N315" i="5"/>
  <c r="M316" i="5"/>
  <c r="N316" i="5"/>
  <c r="M317" i="5"/>
  <c r="N317" i="5"/>
  <c r="M318" i="5"/>
  <c r="N318" i="5"/>
  <c r="M319" i="5"/>
  <c r="N319" i="5"/>
  <c r="M320" i="5"/>
  <c r="N320" i="5"/>
  <c r="M321" i="5"/>
  <c r="N321" i="5"/>
  <c r="M322" i="5"/>
  <c r="N322" i="5"/>
  <c r="M323" i="5"/>
  <c r="N323" i="5"/>
  <c r="M324" i="5"/>
  <c r="N324" i="5"/>
  <c r="M325" i="5"/>
  <c r="N325" i="5"/>
  <c r="M326" i="5"/>
  <c r="N326" i="5"/>
  <c r="M327" i="5"/>
  <c r="N327" i="5"/>
  <c r="M328" i="5"/>
  <c r="N328" i="5"/>
  <c r="M329" i="5"/>
  <c r="N329" i="5"/>
  <c r="M330" i="5"/>
  <c r="N330" i="5"/>
  <c r="M331" i="5"/>
  <c r="N331" i="5"/>
  <c r="M332" i="5"/>
  <c r="N332" i="5"/>
  <c r="M333" i="5"/>
  <c r="N333" i="5"/>
  <c r="M334" i="5"/>
  <c r="N334" i="5"/>
  <c r="M335" i="5"/>
  <c r="N335" i="5"/>
  <c r="M336" i="5"/>
  <c r="N336" i="5"/>
  <c r="M337" i="5"/>
  <c r="N337" i="5"/>
  <c r="M338" i="5"/>
  <c r="N338" i="5"/>
  <c r="M339" i="5"/>
  <c r="N339" i="5"/>
  <c r="M340" i="5"/>
  <c r="N340" i="5"/>
  <c r="M341" i="5"/>
  <c r="N341" i="5"/>
  <c r="M342" i="5"/>
  <c r="N342" i="5"/>
  <c r="M343" i="5"/>
  <c r="N343" i="5"/>
  <c r="A49" i="5"/>
  <c r="B49" i="5"/>
  <c r="A50" i="5"/>
  <c r="B50" i="5"/>
  <c r="A51" i="5"/>
  <c r="B51" i="5"/>
  <c r="A52" i="5"/>
  <c r="B52" i="5"/>
  <c r="A53" i="5"/>
  <c r="B53" i="5"/>
  <c r="A54" i="5"/>
  <c r="B54" i="5"/>
  <c r="A55" i="5"/>
  <c r="B55" i="5"/>
  <c r="A56" i="5"/>
  <c r="B56" i="5"/>
  <c r="A57" i="5"/>
  <c r="B57" i="5"/>
  <c r="A58" i="5"/>
  <c r="B58" i="5"/>
  <c r="A59" i="5"/>
  <c r="B59" i="5"/>
  <c r="A60" i="5"/>
  <c r="B60" i="5"/>
  <c r="A61" i="5"/>
  <c r="B61" i="5"/>
  <c r="A62" i="5"/>
  <c r="B62" i="5"/>
  <c r="A63" i="5"/>
  <c r="B63" i="5"/>
  <c r="A64" i="5"/>
  <c r="B64" i="5"/>
  <c r="A65" i="5"/>
  <c r="B65" i="5"/>
  <c r="A66" i="5"/>
  <c r="B66" i="5"/>
  <c r="A67" i="5"/>
  <c r="B67" i="5"/>
  <c r="A68" i="5"/>
  <c r="B68" i="5"/>
  <c r="A69" i="5"/>
  <c r="B69" i="5"/>
  <c r="A70" i="5"/>
  <c r="B70" i="5"/>
  <c r="A71" i="5"/>
  <c r="B71" i="5"/>
  <c r="A72" i="5"/>
  <c r="B72" i="5"/>
  <c r="A73" i="5"/>
  <c r="B73" i="5"/>
  <c r="A74" i="5"/>
  <c r="B74" i="5"/>
  <c r="A75" i="5"/>
  <c r="B75" i="5"/>
  <c r="A76" i="5"/>
  <c r="B76" i="5"/>
  <c r="A77" i="5"/>
  <c r="B77" i="5"/>
  <c r="A78" i="5"/>
  <c r="B78" i="5"/>
  <c r="A79" i="5"/>
  <c r="B79" i="5"/>
  <c r="A80" i="5"/>
  <c r="B80" i="5"/>
  <c r="A81" i="5"/>
  <c r="B81" i="5"/>
  <c r="A82" i="5"/>
  <c r="B82" i="5"/>
  <c r="A83" i="5"/>
  <c r="B83" i="5"/>
  <c r="A84" i="5"/>
  <c r="B84" i="5"/>
  <c r="A85" i="5"/>
  <c r="B85" i="5"/>
  <c r="A86" i="5"/>
  <c r="B86" i="5"/>
  <c r="A87" i="5"/>
  <c r="B87" i="5"/>
  <c r="A88" i="5"/>
  <c r="B88" i="5"/>
  <c r="A89" i="5"/>
  <c r="B89" i="5"/>
  <c r="A90" i="5"/>
  <c r="B90" i="5"/>
  <c r="A91" i="5"/>
  <c r="B91" i="5"/>
  <c r="A92" i="5"/>
  <c r="B92" i="5"/>
  <c r="A93" i="5"/>
  <c r="B93" i="5"/>
  <c r="A94" i="5"/>
  <c r="B94" i="5"/>
  <c r="A95" i="5"/>
  <c r="B95" i="5"/>
  <c r="A96" i="5"/>
  <c r="B96" i="5"/>
  <c r="A97" i="5"/>
  <c r="B97" i="5"/>
  <c r="A98" i="5"/>
  <c r="B98" i="5"/>
  <c r="A99" i="5"/>
  <c r="B99" i="5"/>
  <c r="A100" i="5"/>
  <c r="B100" i="5"/>
  <c r="A101" i="5"/>
  <c r="B101" i="5"/>
  <c r="A102" i="5"/>
  <c r="B102" i="5"/>
  <c r="A103" i="5"/>
  <c r="B103" i="5"/>
  <c r="A104" i="5"/>
  <c r="B104" i="5"/>
  <c r="A105" i="5"/>
  <c r="B105" i="5"/>
  <c r="A106" i="5"/>
  <c r="B106" i="5"/>
  <c r="A107" i="5"/>
  <c r="B107" i="5"/>
  <c r="A108" i="5"/>
  <c r="B108" i="5"/>
  <c r="A109" i="5"/>
  <c r="B109" i="5"/>
  <c r="A110" i="5"/>
  <c r="B110" i="5"/>
  <c r="A111" i="5"/>
  <c r="B111" i="5"/>
  <c r="A112" i="5"/>
  <c r="B112" i="5"/>
  <c r="A113" i="5"/>
  <c r="B113" i="5"/>
  <c r="A114" i="5"/>
  <c r="B114" i="5"/>
  <c r="A115" i="5"/>
  <c r="B115" i="5"/>
  <c r="A116" i="5"/>
  <c r="B116" i="5"/>
  <c r="A117" i="5"/>
  <c r="B117" i="5"/>
  <c r="A118" i="5"/>
  <c r="B118" i="5"/>
  <c r="A119" i="5"/>
  <c r="B119" i="5"/>
  <c r="A120" i="5"/>
  <c r="B120" i="5"/>
  <c r="A121" i="5"/>
  <c r="B121" i="5"/>
  <c r="A122" i="5"/>
  <c r="B122" i="5"/>
  <c r="A123" i="5"/>
  <c r="B123" i="5"/>
  <c r="A124" i="5"/>
  <c r="B124" i="5"/>
  <c r="A125" i="5"/>
  <c r="B125" i="5"/>
  <c r="A126" i="5"/>
  <c r="B126" i="5"/>
  <c r="A127" i="5"/>
  <c r="B127" i="5"/>
  <c r="A128" i="5"/>
  <c r="B128" i="5"/>
  <c r="A129" i="5"/>
  <c r="B129" i="5"/>
  <c r="A130" i="5"/>
  <c r="B130" i="5"/>
  <c r="A131" i="5"/>
  <c r="B131" i="5"/>
  <c r="A132" i="5"/>
  <c r="B132" i="5"/>
  <c r="A133" i="5"/>
  <c r="B133" i="5"/>
  <c r="A134" i="5"/>
  <c r="B134" i="5"/>
  <c r="A135" i="5"/>
  <c r="B135" i="5"/>
  <c r="A136" i="5"/>
  <c r="B136" i="5"/>
  <c r="A137" i="5"/>
  <c r="B137" i="5"/>
  <c r="A138" i="5"/>
  <c r="B138" i="5"/>
  <c r="A139" i="5"/>
  <c r="B139" i="5"/>
  <c r="A140" i="5"/>
  <c r="B140" i="5"/>
  <c r="A141" i="5"/>
  <c r="B141" i="5"/>
  <c r="A142" i="5"/>
  <c r="B142" i="5"/>
  <c r="A143" i="5"/>
  <c r="B143" i="5"/>
  <c r="A144" i="5"/>
  <c r="B144" i="5"/>
  <c r="A145" i="5"/>
  <c r="B145" i="5"/>
  <c r="A146" i="5"/>
  <c r="B146" i="5"/>
  <c r="A147" i="5"/>
  <c r="B147" i="5"/>
  <c r="A148" i="5"/>
  <c r="B148" i="5"/>
  <c r="A149" i="5"/>
  <c r="B149" i="5"/>
  <c r="A150" i="5"/>
  <c r="B150" i="5"/>
  <c r="A151" i="5"/>
  <c r="B151" i="5"/>
  <c r="A152" i="5"/>
  <c r="B152" i="5"/>
  <c r="A153" i="5"/>
  <c r="B153" i="5"/>
  <c r="A154" i="5"/>
  <c r="B154" i="5"/>
  <c r="A155" i="5"/>
  <c r="B155" i="5"/>
  <c r="A156" i="5"/>
  <c r="B156" i="5"/>
  <c r="A157" i="5"/>
  <c r="B157" i="5"/>
  <c r="A158" i="5"/>
  <c r="B158" i="5"/>
  <c r="A159" i="5"/>
  <c r="B159" i="5"/>
  <c r="A160" i="5"/>
  <c r="B160" i="5"/>
  <c r="A161" i="5"/>
  <c r="B161" i="5"/>
  <c r="A162" i="5"/>
  <c r="B162" i="5"/>
  <c r="A163" i="5"/>
  <c r="B163" i="5"/>
  <c r="A164" i="5"/>
  <c r="B164" i="5"/>
  <c r="A165" i="5"/>
  <c r="B165" i="5"/>
  <c r="A166" i="5"/>
  <c r="B166" i="5"/>
  <c r="A167" i="5"/>
  <c r="B167" i="5"/>
  <c r="A168" i="5"/>
  <c r="B168" i="5"/>
  <c r="A169" i="5"/>
  <c r="B169" i="5"/>
  <c r="A170" i="5"/>
  <c r="B170" i="5"/>
  <c r="A171" i="5"/>
  <c r="B171" i="5"/>
  <c r="A172" i="5"/>
  <c r="B172" i="5"/>
  <c r="A173" i="5"/>
  <c r="B173" i="5"/>
  <c r="A174" i="5"/>
  <c r="B174" i="5"/>
  <c r="A175" i="5"/>
  <c r="B175" i="5"/>
  <c r="A176" i="5"/>
  <c r="B176" i="5"/>
  <c r="A177" i="5"/>
  <c r="B177" i="5"/>
  <c r="A178" i="5"/>
  <c r="B178" i="5"/>
  <c r="A179" i="5"/>
  <c r="B179" i="5"/>
  <c r="A180" i="5"/>
  <c r="B180" i="5"/>
  <c r="A181" i="5"/>
  <c r="B181" i="5"/>
  <c r="A182" i="5"/>
  <c r="B182" i="5"/>
  <c r="A183" i="5"/>
  <c r="B183" i="5"/>
  <c r="A184" i="5"/>
  <c r="B184" i="5"/>
  <c r="A185" i="5"/>
  <c r="B185" i="5"/>
  <c r="A186" i="5"/>
  <c r="B186" i="5"/>
  <c r="A187" i="5"/>
  <c r="B187" i="5"/>
  <c r="A188" i="5"/>
  <c r="B188" i="5"/>
  <c r="A189" i="5"/>
  <c r="B189" i="5"/>
  <c r="A190" i="5"/>
  <c r="B190" i="5"/>
  <c r="A191" i="5"/>
  <c r="B191" i="5"/>
  <c r="A192" i="5"/>
  <c r="B192" i="5"/>
  <c r="A193" i="5"/>
  <c r="B193" i="5"/>
  <c r="A194" i="5"/>
  <c r="B194" i="5"/>
  <c r="A195" i="5"/>
  <c r="B195" i="5"/>
  <c r="A196" i="5"/>
  <c r="B196" i="5"/>
  <c r="A197" i="5"/>
  <c r="B197" i="5"/>
  <c r="A198" i="5"/>
  <c r="B198" i="5"/>
  <c r="A199" i="5"/>
  <c r="B199" i="5"/>
  <c r="A200" i="5"/>
  <c r="B200" i="5"/>
  <c r="A201" i="5"/>
  <c r="B201" i="5"/>
  <c r="A202" i="5"/>
  <c r="B202" i="5"/>
  <c r="A203" i="5"/>
  <c r="B203" i="5"/>
  <c r="A204" i="5"/>
  <c r="B204" i="5"/>
  <c r="A205" i="5"/>
  <c r="B205" i="5"/>
  <c r="A206" i="5"/>
  <c r="B206" i="5"/>
  <c r="A207" i="5"/>
  <c r="B207" i="5"/>
  <c r="A208" i="5"/>
  <c r="B208" i="5"/>
  <c r="A209" i="5"/>
  <c r="B209" i="5"/>
  <c r="A210" i="5"/>
  <c r="B210" i="5"/>
  <c r="A211" i="5"/>
  <c r="B211" i="5"/>
  <c r="A212" i="5"/>
  <c r="B212" i="5"/>
  <c r="A213" i="5"/>
  <c r="B213" i="5"/>
  <c r="A214" i="5"/>
  <c r="B214" i="5"/>
  <c r="A215" i="5"/>
  <c r="B215" i="5"/>
  <c r="A216" i="5"/>
  <c r="B216" i="5"/>
  <c r="A217" i="5"/>
  <c r="B217" i="5"/>
  <c r="A218" i="5"/>
  <c r="B218" i="5"/>
  <c r="A219" i="5"/>
  <c r="B219" i="5"/>
  <c r="A220" i="5"/>
  <c r="B220" i="5"/>
  <c r="A221" i="5"/>
  <c r="B221" i="5"/>
  <c r="A222" i="5"/>
  <c r="B222" i="5"/>
  <c r="A223" i="5"/>
  <c r="B223" i="5"/>
  <c r="A224" i="5"/>
  <c r="B224" i="5"/>
  <c r="A225" i="5"/>
  <c r="B225" i="5"/>
  <c r="A226" i="5"/>
  <c r="B226" i="5"/>
  <c r="A227" i="5"/>
  <c r="B227" i="5"/>
  <c r="A228" i="5"/>
  <c r="B228" i="5"/>
  <c r="A229" i="5"/>
  <c r="B229" i="5"/>
  <c r="A230" i="5"/>
  <c r="B230" i="5"/>
  <c r="A231" i="5"/>
  <c r="B231" i="5"/>
  <c r="A232" i="5"/>
  <c r="B232" i="5"/>
  <c r="A233" i="5"/>
  <c r="B233" i="5"/>
  <c r="A234" i="5"/>
  <c r="B234" i="5"/>
  <c r="A235" i="5"/>
  <c r="B235" i="5"/>
  <c r="A236" i="5"/>
  <c r="B236" i="5"/>
  <c r="A237" i="5"/>
  <c r="B237" i="5"/>
  <c r="A238" i="5"/>
  <c r="B238" i="5"/>
  <c r="A239" i="5"/>
  <c r="B239" i="5"/>
  <c r="A240" i="5"/>
  <c r="B240" i="5"/>
  <c r="A241" i="5"/>
  <c r="B241" i="5"/>
  <c r="A242" i="5"/>
  <c r="B242" i="5"/>
  <c r="A243" i="5"/>
  <c r="B243" i="5"/>
  <c r="A244" i="5"/>
  <c r="B244" i="5"/>
  <c r="A245" i="5"/>
  <c r="B245" i="5"/>
  <c r="A246" i="5"/>
  <c r="B246" i="5"/>
  <c r="A247" i="5"/>
  <c r="B247" i="5"/>
  <c r="A248" i="5"/>
  <c r="B248" i="5"/>
  <c r="A249" i="5"/>
  <c r="B249" i="5"/>
  <c r="A250" i="5"/>
  <c r="B250" i="5"/>
  <c r="A251" i="5"/>
  <c r="B251" i="5"/>
  <c r="A252" i="5"/>
  <c r="B252" i="5"/>
  <c r="A253" i="5"/>
  <c r="B253" i="5"/>
  <c r="A254" i="5"/>
  <c r="B254" i="5"/>
  <c r="A255" i="5"/>
  <c r="B255" i="5"/>
  <c r="A256" i="5"/>
  <c r="B256" i="5"/>
  <c r="A257" i="5"/>
  <c r="B257" i="5"/>
  <c r="A258" i="5"/>
  <c r="B258" i="5"/>
  <c r="A259" i="5"/>
  <c r="B259" i="5"/>
  <c r="A260" i="5"/>
  <c r="B260" i="5"/>
  <c r="A261" i="5"/>
  <c r="B261" i="5"/>
  <c r="A262" i="5"/>
  <c r="B262" i="5"/>
  <c r="A263" i="5"/>
  <c r="B263" i="5"/>
  <c r="A264" i="5"/>
  <c r="B264" i="5"/>
  <c r="A265" i="5"/>
  <c r="B265" i="5"/>
  <c r="A266" i="5"/>
  <c r="B266" i="5"/>
  <c r="A267" i="5"/>
  <c r="B267" i="5"/>
  <c r="A268" i="5"/>
  <c r="B268" i="5"/>
  <c r="A269" i="5"/>
  <c r="B269" i="5"/>
  <c r="A270" i="5"/>
  <c r="B270" i="5"/>
  <c r="A271" i="5"/>
  <c r="B271" i="5"/>
  <c r="A272" i="5"/>
  <c r="B272" i="5"/>
  <c r="A273" i="5"/>
  <c r="B273" i="5"/>
  <c r="A274" i="5"/>
  <c r="B274" i="5"/>
  <c r="A275" i="5"/>
  <c r="B275" i="5"/>
  <c r="A276" i="5"/>
  <c r="B276" i="5"/>
  <c r="A277" i="5"/>
  <c r="B277" i="5"/>
  <c r="A278" i="5"/>
  <c r="B278" i="5"/>
  <c r="A279" i="5"/>
  <c r="B279" i="5"/>
  <c r="A280" i="5"/>
  <c r="B280" i="5"/>
  <c r="A281" i="5"/>
  <c r="B281" i="5"/>
  <c r="A282" i="5"/>
  <c r="B282" i="5"/>
  <c r="A283" i="5"/>
  <c r="B283" i="5"/>
  <c r="A284" i="5"/>
  <c r="B284" i="5"/>
  <c r="A285" i="5"/>
  <c r="B285" i="5"/>
  <c r="A286" i="5"/>
  <c r="B286" i="5"/>
  <c r="A287" i="5"/>
  <c r="B287" i="5"/>
  <c r="A288" i="5"/>
  <c r="B288" i="5"/>
  <c r="A289" i="5"/>
  <c r="B289" i="5"/>
  <c r="A290" i="5"/>
  <c r="B290" i="5"/>
  <c r="A291" i="5"/>
  <c r="B291" i="5"/>
  <c r="A292" i="5"/>
  <c r="B292" i="5"/>
  <c r="A293" i="5"/>
  <c r="B293" i="5"/>
  <c r="A294" i="5"/>
  <c r="B294" i="5"/>
  <c r="A295" i="5"/>
  <c r="B295" i="5"/>
  <c r="A296" i="5"/>
  <c r="B296" i="5"/>
  <c r="A297" i="5"/>
  <c r="B297" i="5"/>
  <c r="A298" i="5"/>
  <c r="B298" i="5"/>
  <c r="A299" i="5"/>
  <c r="B299" i="5"/>
  <c r="A300" i="5"/>
  <c r="B300" i="5"/>
  <c r="A301" i="5"/>
  <c r="B301" i="5"/>
  <c r="A302" i="5"/>
  <c r="B302" i="5"/>
  <c r="A303" i="5"/>
  <c r="B303" i="5"/>
  <c r="A304" i="5"/>
  <c r="B304" i="5"/>
  <c r="A305" i="5"/>
  <c r="B305" i="5"/>
  <c r="A306" i="5"/>
  <c r="B306" i="5"/>
  <c r="A307" i="5"/>
  <c r="B307" i="5"/>
  <c r="A308" i="5"/>
  <c r="B308" i="5"/>
  <c r="A309" i="5"/>
  <c r="B309" i="5"/>
  <c r="A310" i="5"/>
  <c r="B310" i="5"/>
  <c r="A311" i="5"/>
  <c r="B311" i="5"/>
  <c r="A312" i="5"/>
  <c r="B312" i="5"/>
  <c r="A313" i="5"/>
  <c r="B313" i="5"/>
  <c r="A314" i="5"/>
  <c r="B314" i="5"/>
  <c r="A315" i="5"/>
  <c r="B315" i="5"/>
  <c r="A316" i="5"/>
  <c r="B316" i="5"/>
  <c r="A317" i="5"/>
  <c r="B317" i="5"/>
  <c r="A318" i="5"/>
  <c r="B318" i="5"/>
  <c r="A319" i="5"/>
  <c r="B319" i="5"/>
  <c r="A320" i="5"/>
  <c r="B320" i="5"/>
  <c r="A321" i="5"/>
  <c r="B321" i="5"/>
  <c r="A322" i="5"/>
  <c r="B322" i="5"/>
  <c r="A323" i="5"/>
  <c r="B323" i="5"/>
  <c r="A324" i="5"/>
  <c r="B324" i="5"/>
  <c r="A325" i="5"/>
  <c r="B325" i="5"/>
  <c r="A326" i="5"/>
  <c r="B326" i="5"/>
  <c r="A327" i="5"/>
  <c r="B327" i="5"/>
  <c r="A328" i="5"/>
  <c r="B328" i="5"/>
  <c r="A329" i="5"/>
  <c r="B329" i="5"/>
  <c r="A330" i="5"/>
  <c r="B330" i="5"/>
  <c r="A331" i="5"/>
  <c r="B331" i="5"/>
  <c r="A332" i="5"/>
  <c r="B332" i="5"/>
  <c r="A333" i="5"/>
  <c r="B333" i="5"/>
  <c r="A334" i="5"/>
  <c r="B334" i="5"/>
  <c r="A335" i="5"/>
  <c r="B335" i="5"/>
  <c r="A336" i="5"/>
  <c r="B336" i="5"/>
  <c r="A337" i="5"/>
  <c r="B337" i="5"/>
  <c r="A338" i="5"/>
  <c r="B338" i="5"/>
  <c r="A339" i="5"/>
  <c r="B339" i="5"/>
  <c r="A340" i="5"/>
  <c r="B340" i="5"/>
  <c r="A341" i="5"/>
  <c r="B341" i="5"/>
  <c r="A342" i="5"/>
  <c r="B342" i="5"/>
  <c r="A343" i="5"/>
  <c r="B343" i="5"/>
  <c r="M39" i="5"/>
  <c r="N39" i="5"/>
  <c r="M40" i="5"/>
  <c r="N40" i="5"/>
  <c r="M41" i="5"/>
  <c r="N41" i="5"/>
  <c r="M42" i="5"/>
  <c r="N42" i="5"/>
  <c r="M43" i="5"/>
  <c r="N43" i="5"/>
  <c r="M44" i="5"/>
  <c r="M45" i="5"/>
  <c r="N45" i="5"/>
  <c r="M46" i="5"/>
  <c r="N46" i="5"/>
  <c r="M47" i="5"/>
  <c r="N47" i="5"/>
  <c r="M48" i="5"/>
  <c r="N48" i="5"/>
  <c r="B41" i="5"/>
  <c r="B42" i="5"/>
  <c r="A43" i="5"/>
  <c r="B43" i="5"/>
  <c r="A44" i="5"/>
  <c r="A45" i="5"/>
  <c r="B45" i="5"/>
  <c r="A46" i="5"/>
  <c r="B46" i="5"/>
  <c r="A47" i="5"/>
  <c r="B47" i="5"/>
  <c r="A48" i="5"/>
  <c r="B48" i="5"/>
  <c r="M6" i="5"/>
  <c r="N6" i="5"/>
  <c r="M7" i="5"/>
  <c r="N7" i="5"/>
  <c r="M8" i="5"/>
  <c r="N8" i="5"/>
  <c r="M9" i="5"/>
  <c r="N9" i="5"/>
  <c r="M10" i="5"/>
  <c r="N10" i="5"/>
  <c r="M11" i="5"/>
  <c r="N11" i="5"/>
  <c r="M12" i="5"/>
  <c r="N12" i="5"/>
  <c r="A6" i="5"/>
  <c r="B6" i="5"/>
  <c r="A7" i="5"/>
  <c r="B7" i="5"/>
  <c r="A8" i="5"/>
  <c r="B8" i="5"/>
  <c r="A9" i="5"/>
  <c r="B9" i="5"/>
  <c r="A10" i="5"/>
  <c r="B10" i="5"/>
  <c r="A11" i="5"/>
  <c r="B11" i="5"/>
  <c r="A12" i="5"/>
  <c r="B12" i="5"/>
  <c r="H52" i="1"/>
  <c r="B30" i="5" l="1"/>
  <c r="B31" i="5"/>
  <c r="B32" i="5"/>
  <c r="B33" i="5"/>
  <c r="B34" i="5"/>
  <c r="B35" i="5"/>
  <c r="B36" i="5"/>
  <c r="A30" i="5"/>
  <c r="A31" i="5"/>
  <c r="A32" i="5"/>
  <c r="A33" i="5"/>
  <c r="A34" i="5"/>
  <c r="A35" i="5"/>
  <c r="A36" i="5"/>
  <c r="N18" i="5" l="1"/>
  <c r="N19" i="5"/>
  <c r="N20" i="5"/>
  <c r="N21" i="5"/>
  <c r="N22" i="5"/>
  <c r="N23" i="5"/>
  <c r="N24" i="5"/>
  <c r="N25" i="5"/>
  <c r="N26" i="5"/>
  <c r="N27" i="5"/>
  <c r="N28" i="5"/>
  <c r="N29" i="5"/>
  <c r="N17" i="5"/>
  <c r="P99" i="5"/>
  <c r="A19" i="5"/>
  <c r="B19" i="5"/>
  <c r="M19" i="5"/>
  <c r="A20" i="5"/>
  <c r="B20" i="5"/>
  <c r="M20" i="5"/>
  <c r="A21" i="5"/>
  <c r="B21" i="5"/>
  <c r="M21" i="5"/>
  <c r="A22" i="5"/>
  <c r="B22" i="5"/>
  <c r="M22" i="5"/>
  <c r="A23" i="5"/>
  <c r="B23" i="5"/>
  <c r="M23" i="5"/>
  <c r="A24" i="5"/>
  <c r="B24" i="5"/>
  <c r="M24" i="5"/>
  <c r="A25" i="5"/>
  <c r="B25" i="5"/>
  <c r="M25" i="5"/>
  <c r="A26" i="5"/>
  <c r="B26" i="5"/>
  <c r="M26" i="5"/>
  <c r="A27" i="5"/>
  <c r="B27" i="5"/>
  <c r="M27" i="5"/>
  <c r="A28" i="5"/>
  <c r="B28" i="5"/>
  <c r="M28" i="5"/>
  <c r="A29" i="5"/>
  <c r="B29" i="5"/>
  <c r="M29" i="5"/>
  <c r="A18" i="5"/>
  <c r="B18" i="5"/>
  <c r="M18" i="5"/>
  <c r="B17" i="5" l="1"/>
  <c r="A17" i="5"/>
  <c r="M17" i="5"/>
  <c r="L21" i="13" l="1"/>
  <c r="A3" i="13" l="1"/>
  <c r="H7" i="11" l="1"/>
  <c r="A237" i="11" l="1"/>
  <c r="A236" i="11"/>
  <c r="A235" i="11"/>
  <c r="A234" i="11"/>
  <c r="A233" i="11"/>
  <c r="A232" i="11"/>
  <c r="A231" i="11"/>
  <c r="A230" i="11"/>
  <c r="A229" i="11"/>
  <c r="A228" i="11"/>
  <c r="A227" i="11"/>
  <c r="A226" i="11"/>
  <c r="A225" i="11"/>
  <c r="A224" i="11"/>
  <c r="A223" i="11"/>
  <c r="A222" i="11"/>
  <c r="A221" i="11"/>
  <c r="A220" i="11"/>
  <c r="A219" i="11"/>
  <c r="A218" i="11"/>
  <c r="A217" i="11"/>
  <c r="A216" i="11"/>
  <c r="A215" i="11"/>
  <c r="A214" i="11"/>
  <c r="A213" i="11"/>
  <c r="A212" i="11"/>
  <c r="A211" i="11"/>
  <c r="A210" i="11"/>
  <c r="A209" i="11"/>
  <c r="A208" i="11"/>
  <c r="A207" i="11"/>
  <c r="A206" i="11"/>
  <c r="A205" i="11"/>
  <c r="A204" i="11"/>
  <c r="A203" i="11"/>
  <c r="A202" i="11"/>
  <c r="A201" i="11"/>
  <c r="A200" i="11"/>
  <c r="A199" i="11"/>
  <c r="A198" i="11"/>
  <c r="A197" i="11"/>
  <c r="A196" i="11"/>
  <c r="A195" i="11"/>
  <c r="A194" i="11"/>
  <c r="A193" i="11"/>
  <c r="A192" i="11"/>
  <c r="A191" i="11"/>
  <c r="A190" i="11"/>
  <c r="A189" i="11"/>
  <c r="A188" i="11"/>
  <c r="A187" i="11"/>
  <c r="A186" i="11"/>
  <c r="A185" i="11"/>
  <c r="A184" i="11"/>
  <c r="A183" i="11"/>
  <c r="A182" i="11"/>
  <c r="A181" i="11"/>
  <c r="A180" i="11"/>
  <c r="A179" i="11"/>
  <c r="A178" i="11"/>
  <c r="A177" i="11"/>
  <c r="A176" i="11"/>
  <c r="A175" i="11"/>
  <c r="A174" i="11"/>
  <c r="A173" i="11"/>
  <c r="A172" i="11"/>
  <c r="A171" i="11"/>
  <c r="A170" i="11"/>
  <c r="A169" i="11"/>
  <c r="A168" i="11"/>
  <c r="A167" i="11"/>
  <c r="A166" i="11"/>
  <c r="A165" i="11"/>
  <c r="A164" i="11"/>
  <c r="A163" i="11"/>
  <c r="A162" i="11"/>
  <c r="A161" i="11"/>
  <c r="A160" i="11"/>
  <c r="A159" i="11"/>
  <c r="A158" i="11"/>
  <c r="A157" i="11"/>
  <c r="A156" i="11"/>
  <c r="A155" i="11"/>
  <c r="A154" i="11"/>
  <c r="A153" i="11"/>
  <c r="A152" i="11"/>
  <c r="A151" i="11"/>
  <c r="A150" i="11"/>
  <c r="A149" i="11"/>
  <c r="A148" i="11"/>
  <c r="A147" i="11"/>
  <c r="A146" i="11"/>
  <c r="A145" i="11"/>
  <c r="A144" i="11"/>
  <c r="A143" i="11"/>
  <c r="A142" i="11"/>
  <c r="A141" i="11"/>
  <c r="A140" i="11"/>
  <c r="A139" i="11"/>
  <c r="A138" i="11"/>
  <c r="A137" i="11"/>
  <c r="A136" i="11"/>
  <c r="A135" i="11"/>
  <c r="A134" i="11"/>
  <c r="A133" i="11"/>
  <c r="A132" i="11"/>
  <c r="A131" i="11"/>
  <c r="A130" i="11"/>
  <c r="A129" i="11"/>
  <c r="A128" i="11"/>
  <c r="A127" i="11"/>
  <c r="A126" i="11"/>
  <c r="A125" i="11"/>
  <c r="A124" i="11"/>
  <c r="A123" i="11"/>
  <c r="A122" i="11"/>
  <c r="A121" i="11"/>
  <c r="A120" i="11"/>
  <c r="A119" i="11"/>
  <c r="A118" i="11"/>
  <c r="A117" i="11"/>
  <c r="A116" i="11"/>
  <c r="A115" i="11"/>
  <c r="A114" i="11"/>
  <c r="A113" i="11"/>
  <c r="A112" i="11"/>
  <c r="A111" i="11"/>
  <c r="A110" i="11"/>
  <c r="A109" i="11"/>
  <c r="A108" i="11"/>
  <c r="A107" i="11"/>
  <c r="A106" i="11"/>
  <c r="A105" i="11"/>
  <c r="A104" i="11"/>
  <c r="A103" i="11"/>
  <c r="A102" i="11"/>
  <c r="A101" i="11"/>
  <c r="A100" i="11"/>
  <c r="A99" i="11"/>
  <c r="A98" i="11"/>
  <c r="A97" i="11"/>
  <c r="A96" i="11"/>
  <c r="A95" i="11"/>
  <c r="A94" i="11"/>
  <c r="A93" i="11"/>
  <c r="A92" i="11"/>
  <c r="A91" i="11"/>
  <c r="A90" i="11"/>
  <c r="A89" i="11"/>
  <c r="A88" i="11"/>
  <c r="A87" i="11"/>
  <c r="A86" i="11"/>
  <c r="A85" i="11"/>
  <c r="A84" i="11"/>
  <c r="A83" i="11"/>
  <c r="A82" i="11"/>
  <c r="A81" i="11"/>
  <c r="A80" i="11"/>
  <c r="A79" i="11"/>
  <c r="A78" i="11"/>
  <c r="A77" i="11"/>
  <c r="A76" i="11"/>
  <c r="A75" i="11"/>
  <c r="A74" i="11"/>
  <c r="A73" i="11"/>
  <c r="A72" i="11"/>
  <c r="A71" i="11"/>
  <c r="A70" i="11"/>
  <c r="A69" i="11"/>
  <c r="A68" i="11"/>
  <c r="A67" i="11"/>
  <c r="A66" i="11"/>
  <c r="A65" i="11"/>
  <c r="A64" i="11"/>
  <c r="A63" i="11"/>
  <c r="A62" i="11"/>
  <c r="A61" i="11"/>
  <c r="A60" i="11"/>
  <c r="A59" i="11"/>
  <c r="A58" i="11"/>
  <c r="A57" i="11"/>
  <c r="A56" i="11"/>
  <c r="A55" i="11"/>
  <c r="A54" i="11"/>
  <c r="A53" i="11"/>
  <c r="A52" i="11"/>
  <c r="A51" i="11"/>
  <c r="A50" i="11"/>
  <c r="A49" i="11"/>
  <c r="A48" i="11"/>
  <c r="A47" i="11"/>
  <c r="A46" i="11"/>
  <c r="A45" i="11"/>
  <c r="A44" i="11"/>
  <c r="A43" i="11"/>
  <c r="A42" i="11"/>
  <c r="A41" i="11"/>
  <c r="A40" i="11"/>
  <c r="A39" i="11"/>
  <c r="A38" i="11"/>
  <c r="H31" i="11"/>
  <c r="H29" i="11"/>
  <c r="H27" i="11"/>
  <c r="H25" i="11"/>
  <c r="H23" i="11"/>
  <c r="J4" i="11"/>
  <c r="H64" i="11" s="1"/>
  <c r="H38" i="11" l="1"/>
  <c r="H3" i="11"/>
  <c r="N2" i="5" l="1"/>
  <c r="N3" i="5"/>
  <c r="N4" i="5"/>
  <c r="N5" i="5"/>
  <c r="A13" i="5"/>
  <c r="A14" i="5"/>
  <c r="A15" i="5"/>
  <c r="A16" i="5"/>
  <c r="A2" i="5"/>
  <c r="A3" i="5"/>
  <c r="A4" i="5"/>
  <c r="A5" i="5"/>
  <c r="B13" i="5"/>
  <c r="B14" i="5"/>
  <c r="B15" i="5"/>
  <c r="B16" i="5"/>
  <c r="B2" i="5"/>
  <c r="B3" i="5"/>
  <c r="B4" i="5"/>
  <c r="B5" i="5"/>
  <c r="M3" i="5" l="1"/>
  <c r="N13" i="5" l="1"/>
  <c r="N14" i="5"/>
  <c r="N15" i="5"/>
  <c r="N16" i="5"/>
  <c r="N30" i="5"/>
  <c r="N31" i="5"/>
  <c r="N32" i="5"/>
  <c r="N33" i="5"/>
  <c r="N34" i="5"/>
  <c r="N35" i="5"/>
  <c r="N36" i="5"/>
  <c r="N37" i="5"/>
  <c r="N38" i="5"/>
  <c r="B37" i="5"/>
  <c r="B38" i="5"/>
  <c r="B39" i="5"/>
  <c r="B40" i="5"/>
  <c r="A37" i="5"/>
  <c r="A38" i="5"/>
  <c r="A39" i="5"/>
  <c r="A40" i="5"/>
  <c r="Q2" i="5" l="1"/>
  <c r="M4" i="5"/>
  <c r="M5" i="5"/>
  <c r="M13" i="5"/>
  <c r="M14" i="5"/>
  <c r="M15" i="5"/>
  <c r="M16" i="5"/>
  <c r="M30" i="5"/>
  <c r="M31" i="5"/>
  <c r="M32" i="5"/>
  <c r="M33" i="5"/>
  <c r="M34" i="5"/>
  <c r="M35" i="5"/>
  <c r="M36" i="5"/>
  <c r="M37" i="5"/>
  <c r="M38" i="5"/>
  <c r="M2" i="5"/>
  <c r="H25" i="1" l="1"/>
  <c r="H27" i="1"/>
  <c r="H29" i="1"/>
  <c r="H31" i="1"/>
  <c r="A2" i="1"/>
  <c r="A3" i="1"/>
  <c r="A4" i="1"/>
  <c r="A5" i="1"/>
  <c r="A6" i="1"/>
  <c r="A7" i="1"/>
  <c r="A8" i="1"/>
  <c r="A9" i="1"/>
  <c r="A10" i="1"/>
  <c r="A2" i="11"/>
  <c r="A3" i="1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tc={C1C26ED1-0F2C-48D9-B2A8-53E5FD5467AF}</author>
    <author>tc={7A8EFF6A-E030-4DC4-8000-4A489DE6174A}</author>
    <author>tc={5B18333C-D1DC-4992-9559-D2DD62A4FDB3}</author>
    <author>tc={9A896A4C-148C-412C-9DBB-44BBC49907FA}</author>
    <author>tc={5D3351C6-0A1C-44D3-AC4B-896E9168F3C9}</author>
    <author>tc={E29081A0-1200-4E8D-B320-1FF0531A8170}</author>
    <author>tc={B207AE23-2452-40D5-BE7E-B9A785B32A33}</author>
    <author>tc={204CDF0F-B872-4329-8343-06ADD1DB5438}</author>
  </authors>
  <commentList>
    <comment ref="H2" authorId="0" shapeId="0" xr:uid="{C1C26ED1-0F2C-48D9-B2A8-53E5FD5467AF}">
      <text>
        <t>[Threaded comment]
Your version of Excel allows you to read this threaded comment; however, any edits to it will get removed if the file is opened in a newer version of Excel. Learn more: https://go.microsoft.com/fwlink/?linkid=870924
Comment:
    calculates workdays from current day (currently 10 days out, can easily be changed in formula)</t>
      </text>
    </comment>
    <comment ref="M2" authorId="1" shapeId="0" xr:uid="{7A8EFF6A-E030-4DC4-8000-4A489DE6174A}">
      <text>
        <t>[Threaded comment]
Your version of Excel allows you to read this threaded comment; however, any edits to it will get removed if the file is opened in a newer version of Excel. Learn more: https://go.microsoft.com/fwlink/?linkid=870924
Comment:
    put names in here and they will appear in the concatted message box formatted into an email header that can be pasted into a CT id request</t>
      </text>
    </comment>
    <comment ref="F6" authorId="2" shapeId="0" xr:uid="{5B18333C-D1DC-4992-9559-D2DD62A4FDB3}">
      <text>
        <t>[Threaded comment]
Your version of Excel allows you to read this threaded comment; however, any edits to it will get removed if the file is opened in a newer version of Excel. Learn more: https://go.microsoft.com/fwlink/?linkid=870924
Comment:
    For the first entry of every date I also like to put the date here for easy grouping</t>
      </text>
    </comment>
    <comment ref="B10" authorId="3" shapeId="0" xr:uid="{9A896A4C-148C-412C-9DBB-44BBC49907FA}">
      <text>
        <t>[Threaded comment]
Your version of Excel allows you to read this threaded comment; however, any edits to it will get removed if the file is opened in a newer version of Excel. Learn more: https://go.microsoft.com/fwlink/?linkid=870924
Comment:
    when you put a name in this field the date is automatically marked</t>
      </text>
    </comment>
    <comment ref="E10" authorId="4" shapeId="0" xr:uid="{5D3351C6-0A1C-44D3-AC4B-896E9168F3C9}">
      <text>
        <t>[Threaded comment]
Your version of Excel allows you to read this threaded comment; however, any edits to it will get removed if the file is opened in a newer version of Excel. Learn more: https://go.microsoft.com/fwlink/?linkid=870924
Comment:
    this is a drop down. IF you want a type not in the dropdown you can add to the dropdown sheet or just write the desired text in another column then copy paste it to this column.</t>
      </text>
    </comment>
    <comment ref="H12" authorId="5" shapeId="0" xr:uid="{E29081A0-1200-4E8D-B320-1FF0531A8170}">
      <text>
        <t>[Threaded comment]
Your version of Excel allows you to read this threaded comment; however, any edits to it will get removed if the file is opened in a newer version of Excel. Learn more: https://go.microsoft.com/fwlink/?linkid=870924
Comment:
    All of these are template responses stating that I cant get required ID info for followups</t>
      </text>
    </comment>
    <comment ref="H22" authorId="6" shapeId="0" xr:uid="{B207AE23-2452-40D5-BE7E-B9A785B32A33}">
      <text>
        <t>[Threaded comment]
Your version of Excel allows you to read this threaded comment; however, any edits to it will get removed if the file is opened in a newer version of Excel. Learn more: https://go.microsoft.com/fwlink/?linkid=870924
Comment:
    headers for CT requests</t>
      </text>
    </comment>
    <comment ref="H41" authorId="7" shapeId="0" xr:uid="{204CDF0F-B872-4329-8343-06ADD1DB5438}">
      <text>
        <t>[Threaded comment]
Your version of Excel allows you to read this threaded comment; however, any edits to it will get removed if the file is opened in a newer version of Excel. Learn more: https://go.microsoft.com/fwlink/?linkid=870924
Comment:
    outtdated method for checking SC STDBS. Now I just grey out the ones that Ive sent out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tc={1BAA6E72-3807-4244-B96B-9ACC59583B10}</author>
  </authors>
  <commentList>
    <comment ref="E3" authorId="0" shapeId="0" xr:uid="{1BAA6E72-3807-4244-B96B-9ACC59583B10}">
      <text>
        <t>[Threaded comment]
Your version of Excel allows you to read this threaded comment; however, any edits to it will get removed if the file is opened in a newer version of Excel. Learn more: https://go.microsoft.com/fwlink/?linkid=870924
Comment:
    these values might be skewed by the fact that its been a while since ive done long division</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<sst xmlns="http://schemas.openxmlformats.org/spreadsheetml/2006/main" count="2924" uniqueCount="940">
  <si>
    <t>DATE</t>
  </si>
  <si>
    <t>name</t>
  </si>
  <si>
    <t>ID</t>
  </si>
  <si>
    <t>TYPE</t>
  </si>
  <si>
    <t>ETA DATE</t>
  </si>
  <si>
    <t>BATCH NAMES</t>
  </si>
  <si>
    <t xml:space="preserve"> </t>
  </si>
  <si>
    <t>Please review the requests in the spreadsheet attached for the defendants</t>
  </si>
  <si>
    <t>Concatted Message</t>
  </si>
  <si>
    <t>DOC DOES NOT MATCH RELEASE DATES WITH SPECIFIC CASES, UNABLE TO OBTAIN RELEASE DATE FOR REQUESTED CASES</t>
  </si>
  <si>
    <t>BY POLICY CT COURTS DO NOT VERIFY ADDRESSES OR SSN ACROSS THE STATE . UNABLE TO MEET IDENFIER POLICY</t>
  </si>
  <si>
    <t>UNABLE TO OBTAIN REQUESTED ADDITIONAL IDENTIFIERS AS ALL ADDRESS OPTIONS ARE INAPPLICABLE AND COURT DOES NOT VERIFY SSNs BY POLICY.</t>
  </si>
  <si>
    <t>CT OFFICE RESPONDED THAT THE DOB ON PROFILE DOES NOT MATCH THEIR DOB ON FILE. DO NOT REPORT REQUESTED CASE(S).UNABLE TO MEET IDENTIFIER POLICY</t>
  </si>
  <si>
    <t>BY POLICY CT COURTS DO NOT VERIFY ADDRESSES OR SSN ACROSS THE STATE. AS NAME AND DOB OPTIONS HAVE ALREADY BEEN EXHAUSTED AND AN ADDRESS MATCH CANNOT BE FOUND VIA RAPIDCOURT I AM UNABLE TO MEET IDENFIER POLICY</t>
  </si>
  <si>
    <t>drop down</t>
  </si>
  <si>
    <t>f/m</t>
  </si>
  <si>
    <t>ver release date</t>
  </si>
  <si>
    <t>ver active warrant!</t>
  </si>
  <si>
    <t xml:space="preserve">unable to obtain necessary additional ids as none of the requested cases have any associated addresses on appris/ rapidcourt, no middle name options are applicable, and the court does not verify addresses or SSNs by policy. </t>
  </si>
  <si>
    <t>Unable to meet 3.0 id policy as apriss/rapidcourt either does not provide a partial address+ middle name/initial match combination or it does not provide an exact address match. The court never verifies SSNs  or addresses by policy. As such an additional 1.0 non DOB ids cannot be obtained and the 3.0 ids policy cannot be met. DO NOT REPORT REQUESTED CASES DUE TO INABILITY TO MEET IDENTIFIER POLICY.</t>
  </si>
  <si>
    <t>DISPUTE</t>
  </si>
  <si>
    <t>SUBJECT</t>
  </si>
  <si>
    <t>batch num</t>
  </si>
  <si>
    <t>EMAIL HEADER</t>
  </si>
  <si>
    <t xml:space="preserve"> b1</t>
  </si>
  <si>
    <t xml:space="preserve"> b3</t>
  </si>
  <si>
    <t xml:space="preserve"> b4 </t>
  </si>
  <si>
    <t xml:space="preserve"> b5</t>
  </si>
  <si>
    <t xml:space="preserve"> b2 </t>
  </si>
  <si>
    <t>Kschwartz ACC CrimInfoVer</t>
  </si>
  <si>
    <t xml:space="preserve">Kschwartz ACC CrimInfoVer </t>
  </si>
  <si>
    <t>CHECK REQUEST</t>
  </si>
  <si>
    <t xml:space="preserve">FORM </t>
  </si>
  <si>
    <t>last name</t>
  </si>
  <si>
    <t>First name</t>
  </si>
  <si>
    <t>_</t>
  </si>
  <si>
    <t>,</t>
  </si>
  <si>
    <t>SLEDcheckreq</t>
  </si>
  <si>
    <t>SledRecreq</t>
  </si>
  <si>
    <t>last first</t>
  </si>
  <si>
    <t>first last</t>
  </si>
  <si>
    <t>(D3,G3,F3,G3,I2,,J3,K2)</t>
  </si>
  <si>
    <t>SLED PENDING</t>
  </si>
  <si>
    <t>UNABLE TO MEET 3.0 ID POLICY AS ALL ADDRESS OPTIONS HAVE BEEN EXHAUSTED/ ARE INAPPLICABLE, AND THUS CANNOT COUNT FOR A FULL ADDITIONAL ID, THE MIDDLE NAME OPTION IS INAPPLICABLE,SSN CANNOT BE VERIFIED VIA APPRISS, AND THE COURT NEVER VERIFIES SSN BY POLICY. AS SUCH, 3.0 IDS CANNOT BE OBTAINED.AS SUCH THE REQUESTED CASE CANNOT BE REPORTED AND SHOULD BE REMOVED.</t>
  </si>
  <si>
    <t>UNABLE TO OBTAIN REQUESTED ADDITIONAL NON DOB IDENTIFIERS AS ALL ADDRESS OPTIONS HAVE BEEN EXHAUSTED OR ARE INAPPLICABLE , IM UNABLE TO VERIFY AN SSN OF ANY TYPE VIA APPRISS, AND COURT DOES NOT VERIFY SSNs BY POLICY.AS SUCH, PLEASE REMOVE THE REQUESTED CASES AND NOTE THAT SINCE THEY ARE UNREPORTABLE THEY DO NOT NEED ANY FURTHER ADDITIONAL DOCKET INFO LIKE FILE DATE,ID INFO, SENTENCING INFO, ECT.</t>
  </si>
  <si>
    <t>PATCH PENDING</t>
  </si>
  <si>
    <t>Lakisha Roberts</t>
  </si>
  <si>
    <t xml:space="preserve">be the day, said goodbye, falling faster, triumph, rise above, defeat hate through love, </t>
  </si>
  <si>
    <t>said goodbye, tried to rise, defeat hate through love, triumph torn apart, falling faster, be the day, lives will end much too soon,keep hope alive, path to victory fades away.</t>
  </si>
  <si>
    <t>Mandrell Brown</t>
  </si>
  <si>
    <t>Kelvon Legree</t>
  </si>
  <si>
    <t>Lareginald Jones</t>
  </si>
  <si>
    <t>Terry Koester</t>
  </si>
  <si>
    <t>Sharae Taylor</t>
  </si>
  <si>
    <t>vendor question</t>
  </si>
  <si>
    <t>Tina Jabulani</t>
  </si>
  <si>
    <t>George Maddox</t>
  </si>
  <si>
    <t>Teseana Hare</t>
  </si>
  <si>
    <t>Bernice Woody Gibson</t>
  </si>
  <si>
    <t>Uriel Gaytan Cruz</t>
  </si>
  <si>
    <t>Brian Jackson</t>
  </si>
  <si>
    <t>Kyra Kendrick</t>
  </si>
  <si>
    <t>Rashea Thompson</t>
  </si>
  <si>
    <t>SLED PENDING KEY</t>
  </si>
  <si>
    <t>green text = waiting on check</t>
  </si>
  <si>
    <r>
      <t>grey strikethrough</t>
    </r>
    <r>
      <rPr>
        <sz val="9"/>
        <color theme="0" tint="-0.499984740745262"/>
        <rFont val="Verdana"/>
        <family val="2"/>
      </rPr>
      <t xml:space="preserve"> </t>
    </r>
    <r>
      <rPr>
        <strike/>
        <sz val="9"/>
        <color theme="0" tint="-0.499984740745262"/>
        <rFont val="Verdana"/>
        <family val="2"/>
      </rPr>
      <t>= LETTER SENT OUT</t>
    </r>
  </si>
  <si>
    <t>yellow = check received, need to send</t>
  </si>
  <si>
    <t>Evonne</t>
  </si>
  <si>
    <t>Parker</t>
  </si>
  <si>
    <t>Evonne Parker</t>
  </si>
  <si>
    <t>Drayven</t>
  </si>
  <si>
    <t>Beckmon</t>
  </si>
  <si>
    <t>Drayven Beckmon</t>
  </si>
  <si>
    <t>Qiana Braxton</t>
  </si>
  <si>
    <t>Tanner</t>
  </si>
  <si>
    <t>Shumaker</t>
  </si>
  <si>
    <t>Tanner Shumaker</t>
  </si>
  <si>
    <t>Mary</t>
  </si>
  <si>
    <t>Martensen</t>
  </si>
  <si>
    <t>Mary Martensen</t>
  </si>
  <si>
    <t>George Fields</t>
  </si>
  <si>
    <t>James Gist</t>
  </si>
  <si>
    <t>joseph Goggins</t>
  </si>
  <si>
    <t>Timothy Taylor</t>
  </si>
  <si>
    <t>BISHAR KNIGHT</t>
  </si>
  <si>
    <t>Ariel Petroval</t>
  </si>
  <si>
    <t>Jordan Minster</t>
  </si>
  <si>
    <t>Maurice Brinkley</t>
  </si>
  <si>
    <t>Elijah Harris</t>
  </si>
  <si>
    <t>Adrean Rogers</t>
  </si>
  <si>
    <t>STEPHEN YOUNGBLOOD</t>
  </si>
  <si>
    <t>George Crum</t>
  </si>
  <si>
    <t>whiteland = chester, bensalem = buck</t>
  </si>
  <si>
    <t>Dean Bedard</t>
  </si>
  <si>
    <t xml:space="preserve">Charles Council </t>
  </si>
  <si>
    <t>Yolanda Peterson</t>
  </si>
  <si>
    <t>Ishmael Mack</t>
  </si>
  <si>
    <t>Amira Starks</t>
  </si>
  <si>
    <t>Kenyadi Keith</t>
  </si>
  <si>
    <t>Steven Garrett</t>
  </si>
  <si>
    <t>Pedro Virola Jr</t>
  </si>
  <si>
    <t>Keiley Kemmerlin</t>
  </si>
  <si>
    <t>Name:</t>
  </si>
  <si>
    <t>SID:</t>
  </si>
  <si>
    <t>TEXTJOIN(", ",TRUE,M5:M34)</t>
  </si>
  <si>
    <t>RD email request</t>
  </si>
  <si>
    <t>94CRS000098</t>
  </si>
  <si>
    <t>94CRS000208</t>
  </si>
  <si>
    <t>94CRS000209</t>
  </si>
  <si>
    <t>94CRS000099</t>
  </si>
  <si>
    <t>Jones</t>
  </si>
  <si>
    <t>All additional id options (SSN/address/mid name) to meet 3.0 id policy have been exhausted/ are inapplicable. Case shouldn't be reported per id policy rules.</t>
  </si>
  <si>
    <t xml:space="preserve">DATE </t>
  </si>
  <si>
    <t xml:space="preserve">DATETIME </t>
  </si>
  <si>
    <t>Mood</t>
  </si>
  <si>
    <t>sleepy, feels like if I closed my eyes I can fall asleep. Don’t quite have to go to effort to stay awake yet</t>
  </si>
  <si>
    <t>performance time</t>
  </si>
  <si>
    <t>problem</t>
  </si>
  <si>
    <t>309/8</t>
  </si>
  <si>
    <t>answer</t>
  </si>
  <si>
    <t>correct answer</t>
  </si>
  <si>
    <t>38 r 5</t>
  </si>
  <si>
    <t>50.8 seconds</t>
  </si>
  <si>
    <t>accuracy</t>
  </si>
  <si>
    <t>Correct</t>
  </si>
  <si>
    <t>136/7</t>
  </si>
  <si>
    <t>still tired, really wanna curl up and sleep. That sounds so nice. Depressed too. The thought of everything just kinda sucks.</t>
  </si>
  <si>
    <t>48.00 seconds</t>
  </si>
  <si>
    <t>236/7</t>
  </si>
  <si>
    <t>30.7 seconds</t>
  </si>
  <si>
    <t>sleepiness</t>
  </si>
  <si>
    <t>mood</t>
  </si>
  <si>
    <t>tired again at 12pm 🥱</t>
  </si>
  <si>
    <t>tired, downbeat 😔</t>
  </si>
  <si>
    <t>depressed and gloomy. The thought of most things makes me wanna groan 😫</t>
  </si>
  <si>
    <t xml:space="preserve">still tired 😴 </t>
  </si>
  <si>
    <t>pretty😊 energetic, a little bouncy</t>
  </si>
  <si>
    <t>surprisingly upbeat 😊and energetic, there are some things im actually capable of getting excited about</t>
  </si>
  <si>
    <t>pretty alert still, grumpy from work. But eh its not terrible</t>
  </si>
  <si>
    <t>473/2</t>
  </si>
  <si>
    <t>26.14 seconds</t>
  </si>
  <si>
    <t xml:space="preserve">Correct </t>
  </si>
  <si>
    <t>not sleepy🙃, feel like I couldn’t fall asleep even if I tried my hardest</t>
  </si>
  <si>
    <t xml:space="preserve">eh im fine lol.🙃 Not fantastic, but I don’t feel like moaning at the suggestion of any work. </t>
  </si>
  <si>
    <t>much more alert and awake. Able to do the problem and realize how typing stuff into the pdf was slowing me down. Able to do more stuff in my head too. Also able to come up with the idea of instead of coming up with a new worksheet that has 3 digit numbers to divide by lets just add digits to the 2 digit dividends. My thinking is much more flexible and im less stuck in preset procedures (like finding a math worksheet that meets my criteria) and more willing to veer away from templates and pre manufactured things. Also I feel less depressed too. I feel much more upbeat and happy. I took the same pills, but for some reason i just feel much better. There is a bit of a fog of sleepiness over me but its a lot better</t>
  </si>
  <si>
    <t>alert, feeling good, bouncy, really good</t>
  </si>
  <si>
    <t>feeling alert and bouncy😀 and happy that I got writign done even though it wasn’t official prose.</t>
  </si>
  <si>
    <t>very energetic😃</t>
  </si>
  <si>
    <t>766/6</t>
  </si>
  <si>
    <t>41.7 (actually 51.7 but allowing for errors that the pdf wouldn’t work)</t>
  </si>
  <si>
    <t>alert, frustrated that the bus took so long and that poor girl who was late at 7:15 got dropped off after me at 7:15</t>
  </si>
  <si>
    <t>😎energetic, worried about the insurance thing I should maybe start asking about that since even robin wasn’t on my side much on that one. At least get an estimate so me and my parents can talk</t>
  </si>
  <si>
    <t>35.26 (made a mistake then realized it so I added a 5 second penalty)</t>
  </si>
  <si>
    <t>862/5</t>
  </si>
  <si>
    <t>energetic, wont go to sleep anytime soon😎</t>
  </si>
  <si>
    <t>tired, frustrated that these followups are taking so long. Im talking on the phone so much I cant even listed to music. And ive spent forever trying to edit internal notes down and going back and forth on writing (reportable/DNR ) in front of case numbers. Its good for clarity, but do i wanna risk sounding pedantic? This companys default is to assume i am an idiot and the reporters in india are smarty smart smarts who are sensitive little snowflakes. (goddamnit RIQ) Ughh. Debating whether to take a ritalin after this or not. Taking it will make things better, but it will ruin my observation. I gotta try to power through. WRiting this down has made things worse ( I had a goal to write today but i guess that isnt happening. What is my life)
Also, the thought of just simple math problems also seems really taxing to me. Idk when this mood started. I think around 10. Right when the work stopped being engaging and tolerable and started becoming a bit annoying. Also the super long bus ride didnt help. UGHHHHH WHY MOM. UGHHHHHH.</t>
  </si>
  <si>
    <t>675/8</t>
  </si>
  <si>
    <t>incorrect</t>
  </si>
  <si>
    <t>40.3 (7 second penalty for getting the other problem wrong the 2nd try</t>
  </si>
  <si>
    <t>467/7</t>
  </si>
  <si>
    <t xml:space="preserve">extra </t>
  </si>
  <si>
    <t>sleepy , feel tempted to curl up and lay down somewhere. That sounds nice.🥱</t>
  </si>
  <si>
    <t>sleepy, 😫mood is generally ughhhhh. God curling up on a couch right now and doing absolutely nothing sounds great. Followups have been frustrating, and the thought of getting insurances gives me little to look forward to. Ughhhhhhh life. Ughhhhhhhh</t>
  </si>
  <si>
    <t>BRAIN FOG, 🌫LOW VISIBILITY</t>
  </si>
  <si>
    <t>BRAIN FOG 🌫😖🤔</t>
  </si>
  <si>
    <t>Gotta take that ritalin soon. I don’t think I will be able to power through this. But for the purposes of observation I need to record this state. Alright, okay kara lets go. Oh also I took my ritalin at 5:30</t>
  </si>
  <si>
    <t>I THINK I TOOK PILLS AT EITHER 5:45 OR 6</t>
  </si>
  <si>
    <t xml:space="preserve"> I THINK I TOOK PILLS AT 5:45 YESTERDAY.</t>
  </si>
  <si>
    <t>TOOK PILLS AT 5:30 AM TODAY</t>
  </si>
  <si>
    <t>my cognition is definitely down. I keep making mistakes with the math problems, and when I tried to multiply in excel I almost typed in 467 as the qoutient instead of 66. In addition, things just feel foggier. I forget what im supposed to me doing more often. Like even typing right now, im more likely to loose my train of thought, to get confused by what im doing, for me to just stop in my tracks and be like "huh?". I forget what im doing right in the middle of a process more often. Lol i just did that for a split second. And i was gonna write something else but I forgot it. Something about forgetting what I was doing, fog, focus, sleep. No really what else was i gonna write? was it about math? was it about typing, driving? i really cant remember.Ohhh i remember once i tried to reread this cell. I havent talked about the emojis yet. Even the simplest tasks like trying to choose an emoji for the row above. Lost my train of thought again. Trying to choose an emoji for the row above, that took a really long time. I kept looking for the tired emoji and was unable to find it. I forgot I was looking for the tired emoji and just kept looking at the emojis hoping one would be what I was looking for. 
Also, wait what was i doing. ugh. OKay also, um, word recognition. Yeah im having a harder times coming up with words for thing. I keep choosing the wrong word and not realizing that im saying the wrong word. Like I kept saying ritalin when I meant to say pills and it took me a few times to comprehend that the word ritalin didnt mean what I was trying to get it to mean. I meant pills. If we are talking about language composition ( I know there is a better word for it. Wait! production. language production). Its like im having trouble matching up morphemes to lemmas and the wires get mismatched. So I match up ritalin to the lemma for pills and it takes me a bit longer to get the right semantic value for the word ritalin. Its harder to match up morphemes with semantic values.</t>
  </si>
  <si>
    <t>okay im taking the ritalin. God keeping my eyes open is kind of a struggle. What the heck happened within the two hours since this morning. I just had to do a few phone calls and then everything got more woozy. Like what happened on the 14th! I thought I was fine. I knew that today I wasnt as good as I was yesterday but I felt decent and not nearly as bad as on monday. But then at 10:00, 4 hours since I took my pills, after a bit of frustration and monotonous work, bam! it all slams down. Its like monday. I wasnt tired and i felt fine. I recorded it at the time. But at one point the fog just set in and grew at around 10:00. it seemed to get the worst when I started writing this shit down, started thinking about my functioning levels. Lost my train of thought again. What was i talking about. Also when I was driving the podcast was kinda hard to comprehend. Like I wasnt rewinding it but it honestly was just kinda passing by me. I wasnt even engaged enough to miss out on small parts and try to catch up. Everything became a blur.okay what was I talking about again. Ugh at this rate i wont be able to complete an  STDB before lunch. ughhh. Anyways. Fog, podcast, pill, huh? Oh yeah i was writing about how today feels like a larger scale of that monday (god it took me a while to even remember when (i just wrote where) the accident (forgot the word accident was)(lost my train of thought again. God, retrieving and retaining information is so much harder.). ) anywatys comparing it to another version of monday. At first i seem fine adn then I crash. I dont know what catalyzes it but I do. Okay I cant take that pill. I have to keep obseving so I can tackle this.
Also simple tasks like scrolling are so much more confusing. Its harder to just scroll and not scroll to much or too little. Idk how to describe brain fog but you just get confused so much more easily. You forget what you were doing and its so hard to understand what is going on. Its kinda like how it felt listening to spanish when I was at the highest spanish class i got to in high school. Like you hear things but going through the process of translating them and comprehending them is so much harder. Its not like meanings come automatically, you have to search to find it, rush to keep up. It feels like that sort of disconnect between perception and comprehension, that sort of slowness of an interpretation process, but with everything you know. UGhh okay gotta go to the bathroom and pray i can finish a GA stdb.</t>
  </si>
  <si>
    <t>sorry there is no way in hell I am finishing those GSTDBs but oh well. Anyways I really gotta figure this out. Like this fog doesn’t feel like I do when my pills wear off at night.  Okay when my pills are at their peak I find that I get into a sort of flow with working and concetration. Things kinda happen automatically and I dont have to search for answers to things, the solutions are just there, at the forefront. The resources I need to complete tasks are just there. I dont have to search for them or draw them out. I find myself workign and then can back off and realize. "ph wow that happened pretty fast" or "oh wow I seem sharp, there is a clarity in my thougts and general affect". At night, the flow doesnt come as easy. Its harder to get sucked into tasks and for thoughts to come one after the other like dominos accomplishing a task. its not that it cant be done. Ive done it before at night and the flow can be achieved if those resources are pulled to the forefront. Or are particularly salient. Ive managed to overcome stuff with willpower at night. The energy from my pills has a sort of momentum that can be kept up. In the morning that cant be done when I havent taken my pills. I just woke up so there is no momentum to work off of. But that what its usually like. My pills make movement happen and start a spurt of momentum, it jumpstarts things like spark plugs. Kicks it into gear. But here, the momentum just stopped. (btw i feel a bit less tired and foggy thank god. I have a lone rail which my train of thought can go onto). If we go with the train of thought analogy- at peak pill time not only can my train of thought run, but I can make my own rails for it and change its course. At night, the train can still run fine but its course is less adaptable, and less volitile. I think I sense that to some degree my pills bring volatility. maybe that explains my resistance to taking them before driving. They make me more focused yes, but they are also spark plugs for my system that restart the whole thing. Taking them can disturb already ongoing processes, break the momentum. Anyways. umm what was i talking about. pills, oh differences. Anyways, so the crash now feels different than the crash at night. thoughts just kind of peter out and instead of leading to another thought im left at a baseline of fog and confusion, and trying to retrieve ideas and concepts i was just processing.</t>
  </si>
  <si>
    <t>😑</t>
  </si>
  <si>
    <t>okay I did an experiment, I tried just staring at the screen and doing nothing and I started feeling tired and foggy again. Like the fog just took over.I started getting confused more easily too.</t>
  </si>
  <si>
    <t>Norman</t>
  </si>
  <si>
    <t>Thomas</t>
  </si>
  <si>
    <t>Mckie</t>
  </si>
  <si>
    <t>Da Netria</t>
  </si>
  <si>
    <t>TOOK PILLS AT 5:20 TODAY ( not a great amount of sleep last night either. Woke up in middle of night)</t>
  </si>
  <si>
    <t>kinda sleepy,😐  better now at 8:15 than I was at 8. Was tempted to sleep on the bus but I didn’t. I bumped into a cubicle wall on the way to my desk. But in general eh im fine I think. Not as good as yesterday and the day before. Still yawning. But I think if i put my head on my desk and tried to sleep I wouldnt succeed in the endeavor.</t>
  </si>
  <si>
    <t>feel a bit better. Writing that cell above was much easier than before. Trains of thought seem to last longer and be able to take me farther before petering out. Things seem to connect a bit more. Its not great, im still tired. But its better and I havent gotten lost or confused or foggy yet while writing this section. its just been a steady flow with no dropping things and struggling to retrieve them. Okay wait getting lost and mixed up trying to put in a search id. But later I was able to complete the workday after slowly ramping back up. I managed to go the day without taking the ritalin. Getting my energy back up took until like 1:30/2</t>
  </si>
  <si>
    <t>not great but hey whatever 😐. I don’t feel bouncy but I don’t hate everything either. Im pretty darn close to neutral mood wise. Though sleep is sounding better and better. And frustration could probably come more quickly than usual</t>
  </si>
  <si>
    <t xml:space="preserve">feeling kinda sleepy.Moody wide im pretty decent. Not bouncy, but eh its fine lol.  After a few minutes of looking up excel formulas things got a bit better tiredness wise. Last night I didn’t get a great amount of sleep. I woke up a lot in the middle of the night, I think at 3ish. ANd stayed awake for an hour or so. I think I originally fell asleep at 11:30/12. So alltogether I got maybe 3-4.5 hours.5 if i wannt be really optimistic. </t>
  </si>
  <si>
    <t xml:space="preserve">feeling pretty good, kinda bouncy despite how much time ive spent not doing followups and dealing with technical issues. My computer is running fast and fluidly and it feels like my brain is too. Feeling good, enjoying the music, enjoying that I got the spotify application (not the web player one) to work. Got a lot to do in little time though. Still feeling compotent too. I even have the energy to think about riftara (rivara. Maybe thats a good alternate name hmm) </t>
  </si>
  <si>
    <t>brain is moving really fast,😃 processes are moving super fluidly, nothing is getting stuck. Everything feels well greased and unlaggy. I can do stuff super fast too</t>
  </si>
  <si>
    <t>energetic,😃 wouldn’t be able to sleep even if I was paid and I tried my hardest. Groving to the music too.</t>
  </si>
  <si>
    <t>29.08 seconds</t>
  </si>
  <si>
    <t>463/7</t>
  </si>
  <si>
    <t>593/3</t>
  </si>
  <si>
    <t>40 seconds</t>
  </si>
  <si>
    <t>RETRY</t>
  </si>
  <si>
    <t>48.62 seconds</t>
  </si>
  <si>
    <t xml:space="preserve">Upbeat, energetic, listening to rwby and jamming, pretty happy. </t>
  </si>
  <si>
    <t>energetic,😁! wouldn’t be able to sleep even if I was paid and I tried my hardest. Groving to rwby music and even thinking of rewatching vol 7 tonight</t>
  </si>
  <si>
    <t>28.8 seconds</t>
  </si>
  <si>
    <t>521/8</t>
  </si>
  <si>
    <t>29.3 seconds</t>
  </si>
  <si>
    <t>903/8</t>
  </si>
  <si>
    <t>😁!brain is moving like a well oiled machine. Everything is happening dfast and everything feels pretty bouncy and bubbly. My body starts doing things before I even have to tell it to do them, or before I even realize what I was doing. It just does shit. Also surprisingly this was the first time i thought to just do division in an excel cell rather than doing multiplication by the divosor and the qoutient. Also the first time i thought to use the m/f keys in pastdbs to select genders to speed things up.</t>
  </si>
  <si>
    <t>High focus surprisingly enough, I can start focusing pretty easy and maintain it too. I think the focus brings the speediness of thought and action. Sometimes maybe my brain is too fast for itself so I am moving onto the next step before I realize I made a mistake. but eh . Like words dissappear and just become actions. i dont tell myself to do seomthing or thing im gonna do this. There is no time. The thing just gets done.
Its like there is a pathway between making a decision and actually doing the thing and when im in this state the wheels are greased. The decision making happens fast and the fulfillment of the action happens fast. The process isnt halted in the middle or forgotten. That pipline just moves fast and is unhalted and efficient.
When im in bad i have to constatnly remind myself what i was doing and how to do it, constantly push myself and remember what i was trying to do. My stream of conciousness rules and directs everything. Not only do things not happen without it but it has to work extra hard to make things happen.</t>
  </si>
  <si>
    <t>Luis Sanchez-Mendez</t>
  </si>
  <si>
    <t>JUAN RODRIGUEZ</t>
  </si>
  <si>
    <t>Harris</t>
  </si>
  <si>
    <t>Davin</t>
  </si>
  <si>
    <t>Neely-Harris</t>
  </si>
  <si>
    <t>Leonishia</t>
  </si>
  <si>
    <t>Catherine</t>
  </si>
  <si>
    <t>Garcia Quinones</t>
  </si>
  <si>
    <t>ETA DATE PA STDB</t>
  </si>
  <si>
    <t>Tina</t>
  </si>
  <si>
    <t>Patricia</t>
  </si>
  <si>
    <t>Shamberger</t>
  </si>
  <si>
    <t>Shakeeta</t>
  </si>
  <si>
    <t>Davis</t>
  </si>
  <si>
    <t>Cortney</t>
  </si>
  <si>
    <t>Hill</t>
  </si>
  <si>
    <t>Stewart</t>
  </si>
  <si>
    <t>Dwight</t>
  </si>
  <si>
    <t>Wilson Jr</t>
  </si>
  <si>
    <t>Sumpter</t>
  </si>
  <si>
    <t>Hyshawn</t>
  </si>
  <si>
    <t>JAMES, DENISIA LAMANDA</t>
  </si>
  <si>
    <t>Gambrell-Booker</t>
  </si>
  <si>
    <t>Adrian</t>
  </si>
  <si>
    <t>Byron</t>
  </si>
  <si>
    <t>Polite</t>
  </si>
  <si>
    <t>Smith</t>
  </si>
  <si>
    <t>Dalontae</t>
  </si>
  <si>
    <t>Johnson</t>
  </si>
  <si>
    <t>Rosetta</t>
  </si>
  <si>
    <t>Foster</t>
  </si>
  <si>
    <t>Marquis</t>
  </si>
  <si>
    <t>Tonio</t>
  </si>
  <si>
    <t>Jorge</t>
  </si>
  <si>
    <t>Flores</t>
  </si>
  <si>
    <t>Katherine</t>
  </si>
  <si>
    <t>Kinsey</t>
  </si>
  <si>
    <t>Najeriq</t>
  </si>
  <si>
    <t>Mentor</t>
  </si>
  <si>
    <t>Joseph</t>
  </si>
  <si>
    <t>Windmaker</t>
  </si>
  <si>
    <t>Boykin</t>
  </si>
  <si>
    <t>Carl</t>
  </si>
  <si>
    <t>Crowder</t>
  </si>
  <si>
    <t>Dariol</t>
  </si>
  <si>
    <t>Boyd</t>
  </si>
  <si>
    <t>Faith</t>
  </si>
  <si>
    <t xml:space="preserve">Please review the requests in the spreadsheet attached for the defendants </t>
  </si>
  <si>
    <t xml:space="preserve"> are available/not available in the standard search.</t>
  </si>
  <si>
    <t>Barrow</t>
  </si>
  <si>
    <t>Devon</t>
  </si>
  <si>
    <t>Matthews</t>
  </si>
  <si>
    <t>Calvin</t>
  </si>
  <si>
    <t>Smalls</t>
  </si>
  <si>
    <t>Kevin</t>
  </si>
  <si>
    <t>Knight</t>
  </si>
  <si>
    <t>Jasmine</t>
  </si>
  <si>
    <t>Maya</t>
  </si>
  <si>
    <t>Scarborough</t>
  </si>
  <si>
    <t>Stroman</t>
  </si>
  <si>
    <t>Tiffany</t>
  </si>
  <si>
    <t>Keyosha</t>
  </si>
  <si>
    <t>Oliver</t>
  </si>
  <si>
    <t>Williams</t>
  </si>
  <si>
    <t>Candace</t>
  </si>
  <si>
    <t>Billy</t>
  </si>
  <si>
    <t>DATE INPUT</t>
  </si>
  <si>
    <t>Formatted DOB</t>
  </si>
  <si>
    <t>SSN INPUT</t>
  </si>
  <si>
    <t>FORMATTED SSN</t>
  </si>
  <si>
    <t>DAY</t>
  </si>
  <si>
    <t xml:space="preserve">MONTH </t>
  </si>
  <si>
    <t>YEAR</t>
  </si>
  <si>
    <t>601-33-2022</t>
  </si>
  <si>
    <t>FORMATTED DOB</t>
  </si>
  <si>
    <t xml:space="preserve">DOB 2 </t>
  </si>
  <si>
    <t>Angela</t>
  </si>
  <si>
    <t>Dogan</t>
  </si>
  <si>
    <t>Cecil</t>
  </si>
  <si>
    <t>Clinton</t>
  </si>
  <si>
    <t>Darren</t>
  </si>
  <si>
    <t>411-79-6444</t>
  </si>
  <si>
    <t>DOB 2</t>
  </si>
  <si>
    <t>Shannon</t>
  </si>
  <si>
    <t>Carter</t>
  </si>
  <si>
    <t>Shealy</t>
  </si>
  <si>
    <t>Addison</t>
  </si>
  <si>
    <t>Tavia</t>
  </si>
  <si>
    <t>Giviens</t>
  </si>
  <si>
    <t>DOntre</t>
  </si>
  <si>
    <t>Goodson</t>
  </si>
  <si>
    <t>Childers</t>
  </si>
  <si>
    <t>Winter</t>
  </si>
  <si>
    <t>Ashlee</t>
  </si>
  <si>
    <t>Parks</t>
  </si>
  <si>
    <t>awaiting updates</t>
  </si>
  <si>
    <t>Nina</t>
  </si>
  <si>
    <t>Moore</t>
  </si>
  <si>
    <t>Unable to obtain sufficient additional ids for 3.0 match as there is no middle name/self disclosure to match, an address match only qualifies as .5 ids and the CT clerks office does not match SSNs of any type. As such, the maximum obtainable ids are .5. Please remove case as the ID polciy cannot be met.</t>
  </si>
  <si>
    <t>Andre</t>
  </si>
  <si>
    <t>Danzy</t>
  </si>
  <si>
    <t>Shardasia</t>
  </si>
  <si>
    <t>Mckever</t>
  </si>
  <si>
    <t>Burnett</t>
  </si>
  <si>
    <t>Natasha</t>
  </si>
  <si>
    <t>Donna</t>
  </si>
  <si>
    <t>Witt</t>
  </si>
  <si>
    <t>Brown</t>
  </si>
  <si>
    <t>Tomeka</t>
  </si>
  <si>
    <t>Christopher</t>
  </si>
  <si>
    <t>Sierra</t>
  </si>
  <si>
    <t>Reggie</t>
  </si>
  <si>
    <t>Harrison</t>
  </si>
  <si>
    <t>Wayne</t>
  </si>
  <si>
    <t>Baskerville</t>
  </si>
  <si>
    <t>Fredrick</t>
  </si>
  <si>
    <t>Phillips</t>
  </si>
  <si>
    <t>Romero</t>
  </si>
  <si>
    <t>Coleman</t>
  </si>
  <si>
    <t>All options (SSN/address/mid name) to obtain requested additional ids have been exhausted/ are inapplicable. Case shouldn't be reported per id policy rules.</t>
  </si>
  <si>
    <t xml:space="preserve">Joshua </t>
  </si>
  <si>
    <t>Grajek</t>
  </si>
  <si>
    <t>Marcquel</t>
  </si>
  <si>
    <t>Douglas</t>
  </si>
  <si>
    <t>Babb</t>
  </si>
  <si>
    <t>Keila</t>
  </si>
  <si>
    <t>Linda</t>
  </si>
  <si>
    <t>CT follow up</t>
  </si>
  <si>
    <t>SSN MULTI</t>
  </si>
  <si>
    <t>SSN MULTI res</t>
  </si>
  <si>
    <t>Unable to meet 3.0 id policy as SSN cant be found on appriss, the court wont confirm SSNs, and no middle name/DL #/ self identification is available. All that leaves is an address match and since address matches dont count as full identifiers, even an exact match wouldn't work. As such, all additional id options have been exhausted/ are unavailable and there is no possible way to meet the id policy. Requested case(s) should be removed.</t>
  </si>
  <si>
    <t xml:space="preserve">Results found on the Statewide Criminal Database search show possible case(s). Please confirm if case(s) </t>
  </si>
  <si>
    <t>Unable to meet 3.0 id policy for requested case(s) as SSN matches unavailable by calling court or online means, address matches N/A, DL/self id N/A, and all obtainable ids dont add up to 3.0. Unable to meet id policy, case(s) should be removed.</t>
  </si>
  <si>
    <t>Vera</t>
  </si>
  <si>
    <t>Alexius</t>
  </si>
  <si>
    <t>Michael</t>
  </si>
  <si>
    <t>Hoalt</t>
  </si>
  <si>
    <t>Unable to meet 3.0 id policy as apriss/rapidcourt either does not provide a partial address+ middle name/initial match combination or it does not provide an exact address match or SSN match. The court never verifies SSNs  or addresses by policy. As such an additional 1.0 non DOB ids cannot be obtained and the 3.0 ids policy cannot be met. DO NOT REPORT REQUESTED CASES DUE TO INABILITY TO MEET IDENTIFIER POLICY.</t>
  </si>
  <si>
    <t>Cuyahoga CP req</t>
  </si>
  <si>
    <t>Rachel</t>
  </si>
  <si>
    <t>Railey</t>
  </si>
  <si>
    <t>Justin</t>
  </si>
  <si>
    <t>Kirkland</t>
  </si>
  <si>
    <t>Monica</t>
  </si>
  <si>
    <t>McMinn</t>
  </si>
  <si>
    <r>
      <t xml:space="preserve">2.0 maximum obtainable ids for </t>
    </r>
    <r>
      <rPr>
        <b/>
        <sz val="11"/>
        <color rgb="FF9C5700"/>
        <rFont val="Calibri"/>
        <family val="2"/>
        <scheme val="minor"/>
      </rPr>
      <t>common</t>
    </r>
    <r>
      <rPr>
        <sz val="11"/>
        <color rgb="FF9C5700"/>
        <rFont val="Calibri"/>
        <family val="2"/>
        <scheme val="minor"/>
      </rPr>
      <t xml:space="preserve"> name search via F/L name + DOB. All other id options (SSN/mid name/address/self-dis/DL #) matches unavailable.As the 3.0 id policy cant be met, requested case(s) are unreportable and should be removed please.</t>
    </r>
  </si>
  <si>
    <r>
      <t xml:space="preserve">2.0 maximum obtainable ids  for </t>
    </r>
    <r>
      <rPr>
        <b/>
        <sz val="11"/>
        <color rgb="FF9C5700"/>
        <rFont val="Calibri"/>
        <family val="2"/>
        <scheme val="minor"/>
      </rPr>
      <t>uncommon</t>
    </r>
    <r>
      <rPr>
        <sz val="11"/>
        <color rgb="FF9C5700"/>
        <rFont val="Calibri"/>
        <family val="2"/>
        <scheme val="minor"/>
      </rPr>
      <t xml:space="preserve"> name via F/L name + DOB. As this is an uncommon name mid names are inapplicable. All other id options (SSN/address/self-dis/DL #) matches unavailable. As the 2.5 id policy cant be met requested case(s) are unreportable and should be removed please.</t>
    </r>
  </si>
  <si>
    <t>b1</t>
  </si>
  <si>
    <t>Years between</t>
  </si>
  <si>
    <t>months between</t>
  </si>
  <si>
    <t>days between</t>
  </si>
  <si>
    <t>start date</t>
  </si>
  <si>
    <t>end date</t>
  </si>
  <si>
    <t>Time elapsed between dates calculator</t>
  </si>
  <si>
    <t>Jeffery</t>
  </si>
  <si>
    <t>SONJA</t>
  </si>
  <si>
    <t>ONEAL</t>
  </si>
  <si>
    <t>Tatianna</t>
  </si>
  <si>
    <t>Kilgore</t>
  </si>
  <si>
    <t>Robinson</t>
  </si>
  <si>
    <t>years + months</t>
  </si>
  <si>
    <t>Craig</t>
  </si>
  <si>
    <t>Tucker</t>
  </si>
  <si>
    <t>Thompson</t>
  </si>
  <si>
    <t>Dominique</t>
  </si>
  <si>
    <t>Ariel</t>
  </si>
  <si>
    <t>DuBose</t>
  </si>
  <si>
    <t>Kwanza</t>
  </si>
  <si>
    <t>Tracy</t>
  </si>
  <si>
    <t>Brooks</t>
  </si>
  <si>
    <t>Kim</t>
  </si>
  <si>
    <t>Cannon</t>
  </si>
  <si>
    <t>Felder</t>
  </si>
  <si>
    <t>Nicole</t>
  </si>
  <si>
    <t>Perrin</t>
  </si>
  <si>
    <t>Judious</t>
  </si>
  <si>
    <t>NC</t>
  </si>
  <si>
    <t>MD</t>
  </si>
  <si>
    <t>SC</t>
  </si>
  <si>
    <t>FELICIA</t>
  </si>
  <si>
    <t>HARTZOG</t>
  </si>
  <si>
    <t>Griph</t>
  </si>
  <si>
    <t>Shana</t>
  </si>
  <si>
    <t>CT</t>
  </si>
  <si>
    <t>Vendor 1</t>
  </si>
  <si>
    <t>Vendor 2</t>
  </si>
  <si>
    <t>Vendor 3</t>
  </si>
  <si>
    <t>Candidate 1</t>
  </si>
  <si>
    <t>Candidate 3</t>
  </si>
  <si>
    <t>Candidate 2</t>
  </si>
  <si>
    <t>ETA 1</t>
  </si>
  <si>
    <t>ETA 2</t>
  </si>
  <si>
    <t>ETA 3</t>
  </si>
  <si>
    <t>PA STDB</t>
  </si>
  <si>
    <t>GA STDB</t>
  </si>
  <si>
    <t>SC STDB</t>
  </si>
  <si>
    <t>C copies</t>
  </si>
  <si>
    <t>ect</t>
  </si>
  <si>
    <t>Kschwartz ACC CrimInfoVer07.12b1</t>
  </si>
  <si>
    <t xml:space="preserve">Kschwartz ACC CrimInfoVer07.12 b2 </t>
  </si>
  <si>
    <t>Kschwartz ACC CrimInfoVer07.12 b3</t>
  </si>
  <si>
    <t xml:space="preserve">Kschwartz ACC CrimInfoVer07.12 b4 </t>
  </si>
  <si>
    <t>Kschwartz ACC CrimInfoVer07.12 b5</t>
  </si>
  <si>
    <t>Jamieson</t>
  </si>
  <si>
    <t>Chris</t>
  </si>
  <si>
    <t>tyiesha</t>
  </si>
  <si>
    <t>morris</t>
  </si>
  <si>
    <t>Nash</t>
  </si>
  <si>
    <t>Kayla</t>
  </si>
  <si>
    <t>ETA 5 days</t>
  </si>
  <si>
    <t>ETA 3 days</t>
  </si>
  <si>
    <t>Expected date</t>
  </si>
  <si>
    <t>ETA 7 days</t>
  </si>
  <si>
    <t>call to check up on</t>
  </si>
  <si>
    <t>sent email</t>
  </si>
  <si>
    <t>today new list?</t>
  </si>
  <si>
    <t>Color coding Key</t>
  </si>
  <si>
    <t>check up on this week</t>
  </si>
  <si>
    <t>check  on start of next week</t>
  </si>
  <si>
    <t>check on end of next week</t>
  </si>
  <si>
    <t>Cand type 1</t>
  </si>
  <si>
    <t>Cand type 2</t>
  </si>
  <si>
    <t>attend to</t>
  </si>
  <si>
    <t>email to confirm GLs</t>
  </si>
  <si>
    <t>Check RUS</t>
  </si>
  <si>
    <t xml:space="preserve">send out </t>
  </si>
  <si>
    <t>urgent</t>
  </si>
  <si>
    <t>Charge lvl dispute</t>
  </si>
  <si>
    <t>Charge desc dispute</t>
  </si>
  <si>
    <t>Not mine dispute</t>
  </si>
  <si>
    <t>old/new search comp</t>
  </si>
  <si>
    <t xml:space="preserve">PRE </t>
  </si>
  <si>
    <t>DISPUTES</t>
  </si>
  <si>
    <t>types ↓</t>
  </si>
  <si>
    <t>tdy  check?</t>
  </si>
  <si>
    <t>SIDS typ 2</t>
  </si>
  <si>
    <t>SIDs typ 1</t>
  </si>
  <si>
    <t>SIDS typ 3</t>
  </si>
  <si>
    <t>DONE</t>
  </si>
  <si>
    <t>610-68-2810</t>
  </si>
  <si>
    <t>209-56-9725</t>
  </si>
  <si>
    <t>194-70-1698</t>
  </si>
  <si>
    <t>166-56-9106</t>
  </si>
  <si>
    <t>561-39-4223</t>
  </si>
  <si>
    <t>206-74-0822</t>
  </si>
  <si>
    <t>199-70-4573</t>
  </si>
  <si>
    <t>598-70-1567</t>
  </si>
  <si>
    <t>053-60-0118</t>
  </si>
  <si>
    <t>174-54-6013</t>
  </si>
  <si>
    <t>Mitchum</t>
  </si>
  <si>
    <t>Me'Chele</t>
  </si>
  <si>
    <t>A</t>
  </si>
  <si>
    <t>B</t>
  </si>
  <si>
    <t>C</t>
  </si>
  <si>
    <t>D</t>
  </si>
  <si>
    <t>E</t>
  </si>
  <si>
    <t>F</t>
  </si>
  <si>
    <t>G</t>
  </si>
  <si>
    <t>H</t>
  </si>
  <si>
    <t>I</t>
  </si>
  <si>
    <t>RIQs</t>
  </si>
  <si>
    <t>ACROSS</t>
  </si>
  <si>
    <t>CONCAT</t>
  </si>
  <si>
    <t>DOWN</t>
  </si>
  <si>
    <t>BOXES</t>
  </si>
  <si>
    <t>rows transposed</t>
  </si>
  <si>
    <t>start time 1:20 end = 1:35</t>
  </si>
  <si>
    <t>start 1:35 - end 2:16</t>
  </si>
  <si>
    <t>start 3:30 end 3:45</t>
  </si>
  <si>
    <t>start tune 7:57 end = 8:22</t>
  </si>
  <si>
    <t>start time 8:54 = pause 9:00 ,restart 10:40, stop 10 :57 (21 mins)</t>
  </si>
  <si>
    <t>start 10:58 end 11:14</t>
  </si>
  <si>
    <t>start 1:34 end 1:49</t>
  </si>
  <si>
    <t>start 1:49 end 2:10</t>
  </si>
  <si>
    <t>start 2:10 9 minute break,end 2:43 - 24 mins</t>
  </si>
  <si>
    <t>Couch</t>
  </si>
  <si>
    <t>Dakota</t>
  </si>
  <si>
    <t>Austin</t>
  </si>
  <si>
    <t>Mika</t>
  </si>
  <si>
    <t>start 4:10 end 4:28</t>
  </si>
  <si>
    <t>William</t>
  </si>
  <si>
    <t>Stanley</t>
  </si>
  <si>
    <t>Tamara</t>
  </si>
  <si>
    <t>Spencer</t>
  </si>
  <si>
    <t>START 4:33</t>
  </si>
  <si>
    <t>start 8:10 stop 8:41</t>
  </si>
  <si>
    <t>start 8:48 end 9:00</t>
  </si>
  <si>
    <t>start 9:01 end 9:14</t>
  </si>
  <si>
    <t>start 10:29 end 11:03</t>
  </si>
  <si>
    <t>9 mins</t>
  </si>
  <si>
    <t>Top times</t>
  </si>
  <si>
    <t>start 1:11 end 1:24</t>
  </si>
  <si>
    <t>start 1:43 end 1:57</t>
  </si>
  <si>
    <t>LeQuaisha</t>
  </si>
  <si>
    <t>Dixon</t>
  </si>
  <si>
    <t>start 4:19</t>
  </si>
  <si>
    <t>start 8:11 end 8:22</t>
  </si>
  <si>
    <t>8 mins</t>
  </si>
  <si>
    <t>start 8:31 end 8:44</t>
  </si>
  <si>
    <t>start 8:45 end 9:12</t>
  </si>
  <si>
    <t>start 9:13 end 9:26</t>
  </si>
  <si>
    <t>start 11:23 end 11:33</t>
  </si>
  <si>
    <t>start 1:57 end 2:21</t>
  </si>
  <si>
    <t>Bennett</t>
  </si>
  <si>
    <t>Sharon</t>
  </si>
  <si>
    <t>start 5:30 end 5:44</t>
  </si>
  <si>
    <t>start 10:11 end 10:32(21 mins)</t>
  </si>
  <si>
    <t>Long</t>
  </si>
  <si>
    <t>Stephone</t>
  </si>
  <si>
    <t>start 2:25 stop 2:38</t>
  </si>
  <si>
    <t>3:00-3:13</t>
  </si>
  <si>
    <t>4:19-4:30</t>
  </si>
  <si>
    <t>2:02 - 2:27</t>
  </si>
  <si>
    <t>2:28 -2:37 (9 mins)</t>
  </si>
  <si>
    <t>4:03 - 4:20</t>
  </si>
  <si>
    <t>8:32 -8:47</t>
  </si>
  <si>
    <t>8:49-8:59</t>
  </si>
  <si>
    <t>9:00 - 9:09</t>
  </si>
  <si>
    <t>9:11 to 9:29</t>
  </si>
  <si>
    <t>10:46 to 10:54</t>
  </si>
  <si>
    <t>10:55 to 11:22</t>
  </si>
  <si>
    <t>1:21 to 1:45</t>
  </si>
  <si>
    <t>1:46 to 2:07</t>
  </si>
  <si>
    <t>2:07 to 2:38</t>
  </si>
  <si>
    <t>4:53 to 5:10</t>
  </si>
  <si>
    <t>5:20 to</t>
  </si>
  <si>
    <t>8:38 to 8:57</t>
  </si>
  <si>
    <t>10:10 to 10:19</t>
  </si>
  <si>
    <t>10:19 to 10:26</t>
  </si>
  <si>
    <t>10:27 to 10:37</t>
  </si>
  <si>
    <t>10:38 to 10:43</t>
  </si>
  <si>
    <t>10:44 to 10:51</t>
  </si>
  <si>
    <t xml:space="preserve">10:52 to 11:00 </t>
  </si>
  <si>
    <t>11:58 to 12:09</t>
  </si>
  <si>
    <t>boxes transposed</t>
  </si>
  <si>
    <t>c,d,e</t>
  </si>
  <si>
    <t>f,g,h</t>
  </si>
  <si>
    <t>I,j,k</t>
  </si>
  <si>
    <t>a</t>
  </si>
  <si>
    <t>b</t>
  </si>
  <si>
    <t>c</t>
  </si>
  <si>
    <t>d</t>
  </si>
  <si>
    <t>e</t>
  </si>
  <si>
    <t>f</t>
  </si>
  <si>
    <t>g</t>
  </si>
  <si>
    <t>h</t>
  </si>
  <si>
    <t>i</t>
  </si>
  <si>
    <t>1:39 to 2:08</t>
  </si>
  <si>
    <t>2:11 to 2:21</t>
  </si>
  <si>
    <t>2:50 to 3:02</t>
  </si>
  <si>
    <t>Zachary</t>
  </si>
  <si>
    <t>Morgan</t>
  </si>
  <si>
    <t>8:14 to 8:22</t>
  </si>
  <si>
    <t>8:22 to 8:29</t>
  </si>
  <si>
    <t>10:44 to 10:52</t>
  </si>
  <si>
    <t>10:52 to 11:02</t>
  </si>
  <si>
    <t>11:02 to 11:15</t>
  </si>
  <si>
    <t>12:25 to 12:37</t>
  </si>
  <si>
    <t>1:19 to 1:29</t>
  </si>
  <si>
    <t>1:33 to 1:46</t>
  </si>
  <si>
    <t>2:08 to  2:18</t>
  </si>
  <si>
    <t>2:18 to 2:27</t>
  </si>
  <si>
    <t>5:06 to 5:15</t>
  </si>
  <si>
    <t>5:15 to 5:26</t>
  </si>
  <si>
    <t>5:26 to 5:38</t>
  </si>
  <si>
    <t>5:38 to 5:48</t>
  </si>
  <si>
    <t>9:17 to 9:34</t>
  </si>
  <si>
    <t>9:35 to 10:02</t>
  </si>
  <si>
    <t>10:02 to 10:15</t>
  </si>
  <si>
    <t>10:58 to 11:10</t>
  </si>
  <si>
    <t>11:11 to 11:19</t>
  </si>
  <si>
    <t>2:09 to 2:18</t>
  </si>
  <si>
    <t>2:19 to 2:34</t>
  </si>
  <si>
    <t>4:09 to 4:22</t>
  </si>
  <si>
    <t>4:23 to 4:39</t>
  </si>
  <si>
    <t>7 mins (x3)</t>
  </si>
  <si>
    <t>8:16 to 8:24</t>
  </si>
  <si>
    <t>9:05 to 9:38</t>
  </si>
  <si>
    <t>9:38 to 9:48</t>
  </si>
  <si>
    <t>Hollie</t>
  </si>
  <si>
    <t>Bust</t>
  </si>
  <si>
    <t>1:46 to 2:09</t>
  </si>
  <si>
    <t>2:12 to 2:21</t>
  </si>
  <si>
    <t>2:23 to 2:43</t>
  </si>
  <si>
    <t>2:44 to 2:59</t>
  </si>
  <si>
    <t>3:02 to 3:!5</t>
  </si>
  <si>
    <t>ROBINSON</t>
  </si>
  <si>
    <t>BRANDY</t>
  </si>
  <si>
    <t>Kiree</t>
  </si>
  <si>
    <t>Forsythe</t>
  </si>
  <si>
    <t>5:40 to 5:59</t>
  </si>
  <si>
    <t>6:00 to 6:06</t>
  </si>
  <si>
    <t>8:51 to 9:02</t>
  </si>
  <si>
    <t>9:53 to 10:00</t>
  </si>
  <si>
    <t>10:01 to 10:13</t>
  </si>
  <si>
    <t>10:38 to 10:45</t>
  </si>
  <si>
    <t>2:08 to 2:14</t>
  </si>
  <si>
    <t>2:15 to 2:18(way to much filled in)</t>
  </si>
  <si>
    <t>2:25 to 2:46</t>
  </si>
  <si>
    <t>10:20 to 10:29</t>
  </si>
  <si>
    <t xml:space="preserve"> time = 8:58  end time = 9:15</t>
  </si>
  <si>
    <t xml:space="preserve"> time 10:32, end time = 11:06 (with help)</t>
  </si>
  <si>
    <t>11:07 to 11:15</t>
  </si>
  <si>
    <t>8:22 to 8:30</t>
  </si>
  <si>
    <t>1:43 to 11:50</t>
  </si>
  <si>
    <t>8:42 to 8:51</t>
  </si>
  <si>
    <t>8:52 to 9:00</t>
  </si>
  <si>
    <t>9:01 to 9:18</t>
  </si>
  <si>
    <t>9:18 to 9:29</t>
  </si>
  <si>
    <t>10:10 to 10:20</t>
  </si>
  <si>
    <t>10:56 to 11:02</t>
  </si>
  <si>
    <t>11:03 to 11:11</t>
  </si>
  <si>
    <t>11:34 to 11:45</t>
  </si>
  <si>
    <t>11:48 to 11:57</t>
  </si>
  <si>
    <t>1:10 to 1:19</t>
  </si>
  <si>
    <t>1:19 to 1:36</t>
  </si>
  <si>
    <t>Stack</t>
  </si>
  <si>
    <t>Amy</t>
  </si>
  <si>
    <t>2:59 to 3:08</t>
  </si>
  <si>
    <t>8:30 to 8:44</t>
  </si>
  <si>
    <t>8:50 to 9:09</t>
  </si>
  <si>
    <t>9:10 to 9:18</t>
  </si>
  <si>
    <t>10:54 to 11:11</t>
  </si>
  <si>
    <t>12:19 to 12:26</t>
  </si>
  <si>
    <t>12:27 to 12:35</t>
  </si>
  <si>
    <t>1:17 to 1:25</t>
  </si>
  <si>
    <t>1:25 to 1:43</t>
  </si>
  <si>
    <t>1:44 to 1:54</t>
  </si>
  <si>
    <t>1:55 to 2:03</t>
  </si>
  <si>
    <t>2:29 to 2:39</t>
  </si>
  <si>
    <t>658-05-8978</t>
  </si>
  <si>
    <t>Charlie</t>
  </si>
  <si>
    <t>4:35 to 4:43</t>
  </si>
  <si>
    <t xml:space="preserve"> 4:43 to 4:51</t>
  </si>
  <si>
    <t>8:05 to 8:28</t>
  </si>
  <si>
    <t>8:41 to 8:48</t>
  </si>
  <si>
    <t>8:48 to 9:02</t>
  </si>
  <si>
    <t>9:03 to 9:18</t>
  </si>
  <si>
    <t>9:51 to 10:03</t>
  </si>
  <si>
    <t>Rouse</t>
  </si>
  <si>
    <t>Ashley</t>
  </si>
  <si>
    <t>1:54 to 2:05</t>
  </si>
  <si>
    <t>CAIN</t>
  </si>
  <si>
    <t>CHEVY</t>
  </si>
  <si>
    <t>Hallingquest</t>
  </si>
  <si>
    <t>Tony</t>
  </si>
  <si>
    <t>4:19 to 4:27</t>
  </si>
  <si>
    <t>5:10 to 5:31</t>
  </si>
  <si>
    <t>8:07 to 8:15</t>
  </si>
  <si>
    <t>8:15 to 8:25</t>
  </si>
  <si>
    <t>8:25 to 8:34</t>
  </si>
  <si>
    <t>8:34 to 8:44</t>
  </si>
  <si>
    <t>8:44 to 8:51</t>
  </si>
  <si>
    <t>8:52 to 8:58</t>
  </si>
  <si>
    <t>9:00 to 9:13</t>
  </si>
  <si>
    <t>OH</t>
  </si>
  <si>
    <t>10:24 to 10:32</t>
  </si>
  <si>
    <t>10:32 to 11:13</t>
  </si>
  <si>
    <t>11:14 to 11:20</t>
  </si>
  <si>
    <t>11:45 to 11:50</t>
  </si>
  <si>
    <t>11:51 to 11:57</t>
  </si>
  <si>
    <t>11:58 to 12:07</t>
  </si>
  <si>
    <t>1:19 to 1:30</t>
  </si>
  <si>
    <t>1:39 to 1:55</t>
  </si>
  <si>
    <t>1:55 to 2:01</t>
  </si>
  <si>
    <t>Lori</t>
  </si>
  <si>
    <t>Lori Burnett</t>
  </si>
  <si>
    <t>2:58 to3:06</t>
  </si>
  <si>
    <t>3:06 to 3:10</t>
  </si>
  <si>
    <t>3:11 to 3:18</t>
  </si>
  <si>
    <t>4:21 to 4:29</t>
  </si>
  <si>
    <t>4:29 to</t>
  </si>
  <si>
    <t>8:07 to 8:13</t>
  </si>
  <si>
    <t>8:14 to 8:27</t>
  </si>
  <si>
    <t>WESTMORELAND</t>
  </si>
  <si>
    <r>
      <t>CP</t>
    </r>
    <r>
      <rPr>
        <b/>
        <sz val="10"/>
        <color rgb="FF333333"/>
        <rFont val="Consolas"/>
        <family val="3"/>
      </rPr>
      <t>-65-CR-0002810-2018</t>
    </r>
  </si>
  <si>
    <r>
      <t>CP</t>
    </r>
    <r>
      <rPr>
        <b/>
        <sz val="10"/>
        <color rgb="FF333333"/>
        <rFont val="Consolas"/>
        <family val="3"/>
      </rPr>
      <t>-65-CR-0004450-2017</t>
    </r>
  </si>
  <si>
    <t>ALLAGHENY</t>
  </si>
  <si>
    <r>
      <t>CP</t>
    </r>
    <r>
      <rPr>
        <b/>
        <sz val="10"/>
        <color rgb="FF333333"/>
        <rFont val="Consolas"/>
        <family val="3"/>
      </rPr>
      <t>-02-CR-0000745-2020</t>
    </r>
  </si>
  <si>
    <r>
      <t>CP</t>
    </r>
    <r>
      <rPr>
        <b/>
        <sz val="10"/>
        <color rgb="FF333333"/>
        <rFont val="Consolas"/>
        <family val="3"/>
      </rPr>
      <t>-02-CR-0000743-2020</t>
    </r>
  </si>
  <si>
    <t>10:05 to 10:16</t>
  </si>
  <si>
    <t>10:17 to 10:23</t>
  </si>
  <si>
    <t>11:14 to 11:29</t>
  </si>
  <si>
    <t>11:30 to 11:37</t>
  </si>
  <si>
    <t>11:39 to 11:44</t>
  </si>
  <si>
    <t>11:46 to 12:07</t>
  </si>
  <si>
    <t>12:07 to 12:14</t>
  </si>
  <si>
    <t>12:15 to 12:42</t>
  </si>
  <si>
    <t>1:35 to 1:42</t>
  </si>
  <si>
    <t>1:42 to 1:56</t>
  </si>
  <si>
    <t>1:56 to 2:00</t>
  </si>
  <si>
    <t>x8</t>
  </si>
  <si>
    <t>Al-muid</t>
  </si>
  <si>
    <t>Ismail</t>
  </si>
  <si>
    <t>Ismail Al-muid</t>
  </si>
  <si>
    <t>9:28 to 9:39</t>
  </si>
  <si>
    <t>Pressley</t>
  </si>
  <si>
    <t>LaTraz</t>
  </si>
  <si>
    <t>LaTraz Pressley</t>
  </si>
  <si>
    <t>11:11 to 11:17</t>
  </si>
  <si>
    <t>11:17 to 11:21</t>
  </si>
  <si>
    <t>11:22 to 11:29</t>
  </si>
  <si>
    <t>11:29 to 11:36</t>
  </si>
  <si>
    <t>11:36 to 11:44</t>
  </si>
  <si>
    <t>1:17 to 1:24</t>
  </si>
  <si>
    <t>Wolfe</t>
  </si>
  <si>
    <t>John</t>
  </si>
  <si>
    <t>4:13 to</t>
  </si>
  <si>
    <t>11:00 to 11:08</t>
  </si>
  <si>
    <t>1:22 to 1:28</t>
  </si>
  <si>
    <t>Jackson</t>
  </si>
  <si>
    <t>Quinton</t>
  </si>
  <si>
    <t>4:18 to 4:24</t>
  </si>
  <si>
    <t>8:10 to 8:23</t>
  </si>
  <si>
    <t>8:24 to 8:31</t>
  </si>
  <si>
    <t>8:46 to 8:55</t>
  </si>
  <si>
    <t xml:space="preserve">8:37 to 8:46 </t>
  </si>
  <si>
    <t>8:55 to 8:59</t>
  </si>
  <si>
    <t>10:01 to 10:06</t>
  </si>
  <si>
    <t>10:06 to 10:18</t>
  </si>
  <si>
    <t>10:20 to 10:24</t>
  </si>
  <si>
    <t>10:24 to 10:30</t>
  </si>
  <si>
    <t>6 mins(x7)</t>
  </si>
  <si>
    <t>2:01 to 2:07</t>
  </si>
  <si>
    <t>2:09 to 2:26</t>
  </si>
  <si>
    <t>4:25 to 4:32</t>
  </si>
  <si>
    <t>4:32 to</t>
  </si>
  <si>
    <t>8:03 to 8:14</t>
  </si>
  <si>
    <t>8:14 to 8:23</t>
  </si>
  <si>
    <t>8:23 to 8:31</t>
  </si>
  <si>
    <t>8:31 to 8:35</t>
  </si>
  <si>
    <t>Cody Noe</t>
  </si>
  <si>
    <t>2:56 to 3:04</t>
  </si>
  <si>
    <t>4:28 to 4:33</t>
  </si>
  <si>
    <t>8:25 to 8:32</t>
  </si>
  <si>
    <t>8:34 to 8:41</t>
  </si>
  <si>
    <r>
      <rPr>
        <b/>
        <sz val="11"/>
        <color rgb="FF9C5700"/>
        <rFont val="Calibri"/>
        <family val="2"/>
        <scheme val="minor"/>
      </rPr>
      <t>Only</t>
    </r>
    <r>
      <rPr>
        <sz val="11"/>
        <color rgb="FF9C5700"/>
        <rFont val="Calibri"/>
        <family val="2"/>
        <scheme val="minor"/>
      </rPr>
      <t xml:space="preserve"> 2.0 max obtainable ids for </t>
    </r>
    <r>
      <rPr>
        <b/>
        <sz val="11"/>
        <color rgb="FF9C5700"/>
        <rFont val="Calibri"/>
        <family val="2"/>
        <scheme val="minor"/>
      </rPr>
      <t>uncommon</t>
    </r>
    <r>
      <rPr>
        <sz val="11"/>
        <color rgb="FF9C5700"/>
        <rFont val="Calibri"/>
        <family val="2"/>
        <scheme val="minor"/>
      </rPr>
      <t xml:space="preserve"> name via F/L name + DOB. As this is an uncommon name mid names are inapplicable. All other id options (SSN/address/self-dis/DL #) matches unavailable. As the 2.5 id policy cant be met requested case(s) are unreportable and should be removed please.</t>
    </r>
  </si>
  <si>
    <t>10:02-10:08</t>
  </si>
  <si>
    <t>10:09 to 10:19</t>
  </si>
  <si>
    <t>2:35 to 2:43</t>
  </si>
  <si>
    <t>2:44 to 2:53</t>
  </si>
  <si>
    <t>2:54  to 3:09</t>
  </si>
  <si>
    <t>3:57 to 4:15</t>
  </si>
  <si>
    <t>9:46 to 10:01</t>
  </si>
  <si>
    <t>10:02 to 10:10</t>
  </si>
  <si>
    <t>10:11 to 10:15</t>
  </si>
  <si>
    <t>10:16 to10:19</t>
  </si>
  <si>
    <t>10:16 to 10:19</t>
  </si>
  <si>
    <t>10:20 to 10:26</t>
  </si>
  <si>
    <t>10:27 to 10:35</t>
  </si>
  <si>
    <t>10:35 to 10:39</t>
  </si>
  <si>
    <t>11:20 to 11:25</t>
  </si>
  <si>
    <t>11:26 to 11:34</t>
  </si>
  <si>
    <t>3:29 to 3:46</t>
  </si>
  <si>
    <t>3:47 to 3:52</t>
  </si>
  <si>
    <t>3:54 to 4:06</t>
  </si>
  <si>
    <t>4:06 to 4:38</t>
  </si>
  <si>
    <t>DATE 1</t>
  </si>
  <si>
    <t>DATE 2</t>
  </si>
  <si>
    <t xml:space="preserve">RES </t>
  </si>
  <si>
    <t>9:24 to 9:32</t>
  </si>
  <si>
    <t>9:34 to</t>
  </si>
  <si>
    <t>10:53 to 11:02</t>
  </si>
  <si>
    <t>11:09 to 11:20</t>
  </si>
  <si>
    <t>11:22 to 11:28</t>
  </si>
  <si>
    <t>11:29 to 11:41</t>
  </si>
  <si>
    <t>11:41 to 11:$5</t>
  </si>
  <si>
    <t>11:45 to 11:52</t>
  </si>
  <si>
    <t>1:10 to 1:25</t>
  </si>
  <si>
    <t>1:26 to 1:29</t>
  </si>
  <si>
    <t>1:30 to 1:44</t>
  </si>
  <si>
    <t>1:45 to 1:54</t>
  </si>
  <si>
    <t>1:54 to 2:01</t>
  </si>
  <si>
    <t>2:45 to 3:00</t>
  </si>
  <si>
    <t>3:42 to 3:49</t>
  </si>
  <si>
    <t>3:51 to 3:57</t>
  </si>
  <si>
    <t>3:58 to 4:03</t>
  </si>
  <si>
    <t>4:03 to 4:08</t>
  </si>
  <si>
    <t>4:08 to 4:13</t>
  </si>
  <si>
    <t>4:14 to 4:18</t>
  </si>
  <si>
    <t>4:18 to  4:31</t>
  </si>
  <si>
    <t>Corrine Moreno</t>
  </si>
  <si>
    <t>CDCR request</t>
  </si>
  <si>
    <t>9:38 to 9:46</t>
  </si>
  <si>
    <t>9:48 to 9:56</t>
  </si>
  <si>
    <t>9:57 to 10:11</t>
  </si>
  <si>
    <t>10:11 to 10:25</t>
  </si>
  <si>
    <t>10:25 to 10:31</t>
  </si>
  <si>
    <t>10:32 to 10:39</t>
  </si>
  <si>
    <t>10:39 to 10:45</t>
  </si>
  <si>
    <t>10:46 to 10:57</t>
  </si>
  <si>
    <t>Dawn Hampton</t>
  </si>
  <si>
    <t>Ashley Gantt</t>
  </si>
  <si>
    <t>Baton Rouge RQ</t>
  </si>
  <si>
    <t>Gerald Ransom</t>
  </si>
  <si>
    <t>1:55 to 2:02</t>
  </si>
  <si>
    <t>2:03 to 2:09</t>
  </si>
  <si>
    <t>2:10 to 2:15</t>
  </si>
  <si>
    <t>2:16 to 2:25</t>
  </si>
  <si>
    <t>2:26 to 2:30</t>
  </si>
  <si>
    <t>3:14 to 3:17</t>
  </si>
  <si>
    <t>3:18 to 3:23</t>
  </si>
  <si>
    <t>4:07 to 4:12</t>
  </si>
  <si>
    <t>9:52 to 9:56</t>
  </si>
  <si>
    <t>9:57 to 10:05</t>
  </si>
  <si>
    <t>10:06 to 10:12</t>
  </si>
  <si>
    <t>2:32 to 2:40</t>
  </si>
  <si>
    <t>3:09 to 3:22</t>
  </si>
  <si>
    <t>3:23 to 3:41</t>
  </si>
  <si>
    <t>3:42 to 3:50</t>
  </si>
  <si>
    <t>4:08 to 4:12</t>
  </si>
  <si>
    <t>4:13 to 4:20-</t>
  </si>
  <si>
    <t>9:51 to 10:05</t>
  </si>
  <si>
    <t>10:05 to 10:10</t>
  </si>
  <si>
    <t>10:11 to 10:14</t>
  </si>
  <si>
    <t>10:47 to 10:56</t>
  </si>
  <si>
    <t>10:57 to 11:00</t>
  </si>
  <si>
    <t>11:01 to 11:07</t>
  </si>
  <si>
    <t>11:08 to 11:15</t>
  </si>
  <si>
    <t>11:15 to 11:19</t>
  </si>
  <si>
    <t>11:19 to 11:24</t>
  </si>
  <si>
    <t>11:24 to 11:32</t>
  </si>
  <si>
    <t>12:14 to 12:19</t>
  </si>
  <si>
    <t>12:21 to 12:25</t>
  </si>
  <si>
    <t>12:26 to 12:40</t>
  </si>
  <si>
    <t>1:56 to 2:16</t>
  </si>
  <si>
    <t>2:17 to 2:23</t>
  </si>
  <si>
    <t>2:24 to 2:34</t>
  </si>
  <si>
    <t>8:03 to 8:16</t>
  </si>
  <si>
    <t>8:16 to 8:22</t>
  </si>
  <si>
    <t>8:23 to 8:28</t>
  </si>
  <si>
    <t>8:29 to 8:34</t>
  </si>
  <si>
    <t>9:54 to 9:58</t>
  </si>
  <si>
    <t>10:00 to 10:10</t>
  </si>
  <si>
    <t>10:11 to 10:16</t>
  </si>
  <si>
    <t>10:17 to 10:19</t>
  </si>
  <si>
    <t>2.25 mins!!</t>
  </si>
  <si>
    <t>10:20 to 10:30</t>
  </si>
  <si>
    <t>10:32 to 10:36</t>
  </si>
  <si>
    <t>10:37 to 10:47</t>
  </si>
  <si>
    <t>10:48 to 10:52</t>
  </si>
  <si>
    <t>10:52 to 10:58</t>
  </si>
  <si>
    <t>10:59 to 11:08</t>
  </si>
  <si>
    <t>12:18 to 12:24</t>
  </si>
  <si>
    <t>12:25 to 12:34</t>
  </si>
  <si>
    <t>ふく ゆ じやん</t>
  </si>
  <si>
    <t>pukta lyë jan</t>
  </si>
  <si>
    <t>フク ユ ジャン</t>
  </si>
  <si>
    <t>11:18 to 11:24</t>
  </si>
  <si>
    <t>4 f</t>
  </si>
  <si>
    <t xml:space="preserve">12 f </t>
  </si>
  <si>
    <t xml:space="preserve">24 f </t>
  </si>
  <si>
    <t>52 f</t>
  </si>
  <si>
    <t xml:space="preserve">104 f </t>
  </si>
  <si>
    <t>12:03 to 12:08</t>
  </si>
  <si>
    <t>12:08 to 12:12</t>
  </si>
  <si>
    <t>12:23 to 12:32</t>
  </si>
  <si>
    <t>TX</t>
  </si>
  <si>
    <t>WI</t>
  </si>
  <si>
    <t>3:13 to 3:21</t>
  </si>
  <si>
    <t>3:25 to 3:32</t>
  </si>
  <si>
    <t>3:33 to 3:47</t>
  </si>
  <si>
    <t>4:03 to 4:09</t>
  </si>
  <si>
    <t>4:19 to 4:26</t>
  </si>
  <si>
    <t>4:26 to 4:42</t>
  </si>
  <si>
    <t>8:02 to 8:13</t>
  </si>
  <si>
    <t>8:13 to 8:20</t>
  </si>
  <si>
    <t>8:20 to 8:28</t>
  </si>
  <si>
    <t>8:33 to 8:43</t>
  </si>
  <si>
    <t>8:44 to 8:47</t>
  </si>
  <si>
    <t>8:48 to 8:53</t>
  </si>
  <si>
    <t>10:09 to 10:16</t>
  </si>
  <si>
    <t>10:16 to 10:21</t>
  </si>
  <si>
    <t>10:22 to 10:33</t>
  </si>
  <si>
    <t>10:34 to 10:37</t>
  </si>
  <si>
    <t>11:27 to 11:38</t>
  </si>
  <si>
    <t>11:39 to 11:41</t>
  </si>
  <si>
    <t>2 mins!!!!!!</t>
  </si>
  <si>
    <t xml:space="preserve">12:23 to 12:29 </t>
  </si>
  <si>
    <t>12:29 to 12:35</t>
  </si>
  <si>
    <t>AL</t>
  </si>
  <si>
    <t>FL</t>
  </si>
  <si>
    <t>CO</t>
  </si>
  <si>
    <t>IL</t>
  </si>
  <si>
    <t>PA</t>
  </si>
  <si>
    <t>4:02 to 4:07</t>
  </si>
  <si>
    <t>5 mins(x8)</t>
  </si>
  <si>
    <t>4:10 to 4:23</t>
  </si>
  <si>
    <t>4:24 to 4:29</t>
  </si>
  <si>
    <t>4:30 to 4:39</t>
  </si>
  <si>
    <t>8:02 to 8:16</t>
  </si>
  <si>
    <t>8:16 to 8:43</t>
  </si>
  <si>
    <t>8:59 to 9:04</t>
  </si>
  <si>
    <t>9:05 to 9:08</t>
  </si>
  <si>
    <t>3 MINS (x8)!</t>
  </si>
  <si>
    <t>COURTNEY SETTLE</t>
  </si>
  <si>
    <t>case info rq</t>
  </si>
  <si>
    <t>delaware</t>
  </si>
  <si>
    <t>chester</t>
  </si>
  <si>
    <t>CP-46-CR-0007819-2016</t>
  </si>
  <si>
    <t>CP-15-CR-0003587-2016</t>
  </si>
  <si>
    <t>CP-15-CR-0003441-2016</t>
  </si>
  <si>
    <t>CP-23-CR-0000016-2020</t>
  </si>
  <si>
    <t>non production forumulas</t>
  </si>
  <si>
    <t>CONCATENATE(270 - SUM(B52:B56)," m b4 lunch")</t>
  </si>
  <si>
    <t>CONCATENATE(210 - SUM(B54:B56), " m aftr lunch")</t>
  </si>
  <si>
    <t>1:31 to 1:40</t>
  </si>
  <si>
    <t>1:41 to 1:52</t>
  </si>
  <si>
    <t>1:53 to 2:05</t>
  </si>
  <si>
    <t>2:11 to 2:17</t>
  </si>
  <si>
    <t>2:39 to 2:46</t>
  </si>
  <si>
    <t>2:47 to 2:57</t>
  </si>
  <si>
    <t>3:15 to 3:20</t>
  </si>
  <si>
    <t>GREENVILLE</t>
  </si>
  <si>
    <t>2018A2330200011</t>
  </si>
  <si>
    <t>2018A2330200010</t>
  </si>
  <si>
    <t>2018A2330200013</t>
  </si>
  <si>
    <t>2021A2330203560</t>
  </si>
  <si>
    <t>4:31 to 4:50</t>
  </si>
  <si>
    <t>8:12 to 8:24</t>
  </si>
  <si>
    <t>8:25 to 8:30</t>
  </si>
  <si>
    <t>12:11 to 12:25</t>
  </si>
  <si>
    <t>12:25 to 12:29</t>
  </si>
  <si>
    <t>4 mins(x19)</t>
  </si>
  <si>
    <t>NM</t>
  </si>
  <si>
    <t>4:00 to 4:05</t>
  </si>
  <si>
    <t>4:13 to 4:19</t>
  </si>
  <si>
    <t>4:19 to 4:24</t>
  </si>
  <si>
    <t>4:24 to 4:34</t>
  </si>
  <si>
    <t>4:34 to 4:40</t>
  </si>
  <si>
    <t>This sheet I mainly use to organize followup list alphabetically. There is also a date tool that can be used to get duration between two dates in days/months/years</t>
  </si>
  <si>
    <t>Ummm. This is a very elaborately disguised sudoku sheet. I think you are too good of an employee to use this</t>
  </si>
  <si>
    <t>Great for PA and SC STDBs. You can group cases by countyhere. Below in the colored boxes there is a section that concatenates all the cases listed in the above column into a comma separated list. There also is a section which formatts that list into a result note which can simply be copy-pasted into the search.</t>
  </si>
  <si>
    <t>SHEET EXPLANATION</t>
  </si>
  <si>
    <t>Formats dates and SSNs info laysouts compatible with submitting PA and SC STDBs. DOB is formatted from mm/dd/yyyy format into YYYYMMDD format, SSN is reformatted without dashes. There alsio is a section where you can do SSNs in bulk.</t>
  </si>
  <si>
    <t>Dropdown sheet mentioned in main_pending_ids</t>
  </si>
  <si>
    <t>This is a sheet with lists of ids that I'm waiting on results for. When you put a name in the name field it automatically marks the date. I also like to mark dates in column F for the first entry on every date so I can group things quickly by date. The type Column is a drop down that automatically color codes things. If you want to put something in TYPE that isnt in the drop down simply write the desired text in another cell, then copy paste that cell info the type column.  ** THERE ARE ALSO COMMENTS THAT EXPLAIN THINGS MORE CLEARLY</t>
  </si>
  <si>
    <t xml:space="preserve">Formats names for SC STDB letter requests. Input f/l name + ID info designated columns and you can get a header for a check request form, the pdf request form, and then the name formatted in F L format and L,F format. Also there is an STDB </t>
  </si>
  <si>
    <t>SLED LETTER ETA DATE</t>
  </si>
  <si>
    <t>DATE DIFFERENCE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</si>
</sst>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
    <numFmt numFmtId="165" formatCode=".00"/>
    <numFmt numFmtId="166" formatCode="00"/>
    <numFmt numFmtId="167" formatCode="yyyy\-mm\-dd;@"/>
  </numFmts>
  <fonts count="85">
    <font>
      <sz val="11"/>
      <color theme="1"/>
      <name val="Calibri"/>
      <family val="2"/>
      <scheme val="minor"/>
    </font>
    <font>
      <b/>
      <sz val="12"/>
      <color theme="1"/>
      <name val="Calibri"/>
      <family val="2"/>
      <scheme val="minor"/>
    </font>
    <font>
      <u/>
      <sz val="11"/>
      <color theme="10"/>
      <name val="Calibri"/>
      <family val="2"/>
      <scheme val="minor"/>
    </font>
    <font>
      <sz val="9"/>
      <color rgb="FF000000"/>
      <name val="Verdana"/>
      <family val="2"/>
    </font>
    <font>
      <sz val="11"/>
      <color rgb="FF9C5700"/>
      <name val="Calibri"/>
      <family val="2"/>
      <scheme val="minor"/>
    </font>
    <font>
      <b/>
      <sz val="11"/>
      <color theme="1"/>
      <name val="Calibri"/>
      <family val="2"/>
      <scheme val="minor"/>
    </font>
    <font>
      <b/>
      <sz val="14"/>
      <color theme="7"/>
      <name val="Calibri"/>
      <family val="2"/>
      <scheme val="minor"/>
    </font>
    <font>
      <b/>
      <sz val="14"/>
      <color theme="1"/>
      <name val="Calibri"/>
      <family val="2"/>
      <scheme val="minor"/>
    </font>
    <font>
      <b/>
      <sz val="11"/>
      <color rgb="FFFF0000"/>
      <name val="Calibri"/>
      <family val="2"/>
      <scheme val="minor"/>
    </font>
    <font>
      <b/>
      <sz val="11"/>
      <color theme="4"/>
      <name val="Calibri"/>
      <family val="2"/>
      <scheme val="minor"/>
    </font>
    <font>
      <b/>
      <sz val="11"/>
      <color theme="9"/>
      <name val="Calibri"/>
      <family val="2"/>
      <scheme val="minor"/>
    </font>
    <font>
      <b/>
      <sz val="11"/>
      <color theme="7"/>
      <name val="Calibri"/>
      <family val="2"/>
      <scheme val="minor"/>
    </font>
    <font>
      <b/>
      <sz val="11"/>
      <color rgb="FF700000"/>
      <name val="Calibri"/>
      <family val="2"/>
      <scheme val="minor"/>
    </font>
    <font>
      <b/>
      <sz val="11"/>
      <color rgb="FF1A2E52"/>
      <name val="Calibri"/>
      <family val="2"/>
      <scheme val="minor"/>
    </font>
    <font>
      <b/>
      <sz val="11"/>
      <color rgb="FF304A1E"/>
      <name val="Calibri"/>
      <family val="2"/>
      <scheme val="minor"/>
    </font>
    <font>
      <b/>
      <sz val="11"/>
      <color rgb="FF803B02"/>
      <name val="Calibri"/>
      <family val="2"/>
      <scheme val="minor"/>
    </font>
    <font>
      <b/>
      <sz val="28"/>
      <color rgb="FFFF0000"/>
      <name val="Calibri"/>
      <family val="2"/>
      <scheme val="minor"/>
    </font>
    <font>
      <b/>
      <sz val="11"/>
      <color rgb="FF3F3F3F"/>
      <name val="Calibri"/>
      <family val="2"/>
      <scheme val="minor"/>
    </font>
    <font>
      <b/>
      <i/>
      <sz val="11"/>
      <color theme="1"/>
      <name val="Calibri"/>
      <family val="2"/>
      <scheme val="minor"/>
    </font>
    <font>
      <sz val="11"/>
      <color rgb="FF000000"/>
      <name val="Calibri"/>
      <family val="2"/>
    </font>
    <font>
      <i/>
      <sz val="11"/>
      <color theme="1"/>
      <name val="Calibri"/>
      <family val="2"/>
      <scheme val="minor"/>
    </font>
    <font>
      <b/>
      <sz val="20"/>
      <color rgb="FFFF0000"/>
      <name val="Calibri"/>
      <family val="2"/>
      <scheme val="minor"/>
    </font>
    <font>
      <sz val="9"/>
      <color rgb="FF000000"/>
      <name val="Verdana"/>
      <family val="2"/>
    </font>
    <font>
      <sz val="11"/>
      <color rgb="FF000000"/>
      <name val="Calibri"/>
      <family val="2"/>
      <scheme val="minor"/>
    </font>
    <font>
      <sz val="8"/>
      <name val="Calibri"/>
      <family val="2"/>
      <scheme val="minor"/>
    </font>
    <font>
      <sz val="11"/>
      <color theme="5" tint="-0.499984740745262"/>
      <name val="Calibri"/>
      <family val="2"/>
      <scheme val="minor"/>
    </font>
    <font>
      <sz val="11"/>
      <color theme="1" tint="4.9989318521683403E-2"/>
      <name val="Calibri"/>
      <family val="2"/>
      <scheme val="minor"/>
    </font>
    <font>
      <sz val="9"/>
      <color rgb="FF000000"/>
      <name val="Courier New"/>
      <family val="3"/>
    </font>
    <font>
      <b/>
      <sz val="11"/>
      <color theme="9" tint="-0.249977111117893"/>
      <name val="Calibri"/>
      <family val="2"/>
      <scheme val="minor"/>
    </font>
    <font>
      <strike/>
      <sz val="9"/>
      <color theme="0" tint="-0.499984740745262"/>
      <name val="Verdana"/>
      <family val="2"/>
    </font>
    <font>
      <sz val="9"/>
      <color theme="0" tint="-0.499984740745262"/>
      <name val="Verdana"/>
      <family val="2"/>
    </font>
    <font>
      <b/>
      <sz val="11"/>
      <color rgb="FFFFBC15"/>
      <name val="Calibri"/>
      <family val="2"/>
      <scheme val="minor"/>
    </font>
    <font>
      <strike/>
      <sz val="9"/>
      <color theme="2" tint="-0.249977111117893"/>
      <name val="Verdana"/>
      <family val="2"/>
    </font>
    <font>
      <strike/>
      <sz val="11"/>
      <color theme="2" tint="-0.249977111117893"/>
      <name val="Calibri"/>
      <family val="2"/>
      <scheme val="minor"/>
    </font>
    <font>
      <strike/>
      <sz val="11"/>
      <color theme="1"/>
      <name val="Calibri"/>
      <family val="2"/>
      <scheme val="minor"/>
    </font>
    <font>
      <sz val="10"/>
      <color rgb="FF000000"/>
      <name val="Verdana"/>
      <family val="2"/>
    </font>
    <font>
      <sz val="9"/>
      <color theme="9" tint="-0.249977111117893"/>
      <name val="Verdana"/>
      <family val="2"/>
    </font>
    <font>
      <b/>
      <sz val="11"/>
      <name val="Calibri"/>
      <family val="2"/>
      <scheme val="minor"/>
    </font>
    <font>
      <strike/>
      <u/>
      <sz val="11"/>
      <color theme="2" tint="-0.249977111117893"/>
      <name val="Calibri"/>
      <family val="2"/>
      <scheme val="minor"/>
    </font>
    <font>
      <sz val="11"/>
      <color theme="9" tint="-0.249977111117893"/>
      <name val="Calibri"/>
      <family val="2"/>
      <scheme val="minor"/>
    </font>
    <font>
      <b/>
      <sz val="11"/>
      <color theme="1" tint="4.9989318521683403E-2"/>
      <name val="Calibri"/>
      <family val="2"/>
      <scheme val="minor"/>
    </font>
    <font>
      <sz val="20"/>
      <color theme="1"/>
      <name val="Calibri"/>
      <family val="2"/>
      <scheme val="minor"/>
    </font>
    <font>
      <sz val="28"/>
      <color theme="1"/>
      <name val="Calibri"/>
      <family val="2"/>
      <scheme val="minor"/>
    </font>
    <font>
      <sz val="48"/>
      <color theme="1"/>
      <name val="Calibri"/>
      <family val="2"/>
      <scheme val="minor"/>
    </font>
    <font>
      <sz val="45"/>
      <color theme="1"/>
      <name val="Calibri"/>
      <family val="2"/>
      <scheme val="minor"/>
    </font>
    <font>
      <sz val="36"/>
      <color theme="1"/>
      <name val="Calibri"/>
      <family val="2"/>
      <scheme val="minor"/>
    </font>
    <font>
      <b/>
      <sz val="20"/>
      <color theme="1"/>
      <name val="Calibri"/>
      <family val="2"/>
      <scheme val="minor"/>
    </font>
    <font>
      <i/>
      <sz val="11"/>
      <color theme="5" tint="-0.499984740745262"/>
      <name val="Calibri"/>
      <family val="2"/>
      <scheme val="minor"/>
    </font>
    <font>
      <i/>
      <sz val="11"/>
      <color theme="1" tint="4.9989318521683403E-2"/>
      <name val="Calibri"/>
      <family val="2"/>
      <scheme val="minor"/>
    </font>
    <font>
      <b/>
      <sz val="11"/>
      <color rgb="FF9C5700"/>
      <name val="Calibri"/>
      <family val="2"/>
      <scheme val="minor"/>
    </font>
    <font>
      <sz val="11"/>
      <color theme="0" tint="-0.14999847407452621"/>
      <name val="Calibri"/>
      <family val="2"/>
      <scheme val="minor"/>
    </font>
    <font>
      <sz val="11"/>
      <color theme="0" tint="-0.24994659260841701"/>
      <name val="Calibri"/>
      <family val="2"/>
      <scheme val="minor"/>
    </font>
    <font>
      <b/>
      <sz val="11"/>
      <color theme="0" tint="-0.249977111117893"/>
      <name val="Calibri"/>
      <family val="2"/>
      <scheme val="minor"/>
    </font>
    <font>
      <sz val="11"/>
      <color rgb="FFFF0000"/>
      <name val="Calibri"/>
      <family val="2"/>
      <scheme val="minor"/>
    </font>
    <font>
      <sz val="18"/>
      <color theme="1"/>
      <name val="Calibri"/>
      <family val="2"/>
      <scheme val="minor"/>
    </font>
    <font>
      <sz val="10"/>
      <color theme="1"/>
      <name val="Calibri"/>
      <family val="2"/>
      <scheme val="minor"/>
    </font>
    <font>
      <sz val="11"/>
      <color theme="7"/>
      <name val="Calibri"/>
      <family val="2"/>
      <scheme val="minor"/>
    </font>
    <font>
      <sz val="11"/>
      <color theme="5" tint="0.39997558519241921"/>
      <name val="Calibri"/>
      <family val="2"/>
      <scheme val="minor"/>
    </font>
    <font>
      <sz val="11"/>
      <color theme="4" tint="0.39997558519241921"/>
      <name val="Calibri"/>
      <family val="2"/>
      <scheme val="minor"/>
    </font>
    <font>
      <sz val="14"/>
      <color theme="1"/>
      <name val="Calibri"/>
      <family val="2"/>
      <scheme val="minor"/>
    </font>
    <font>
      <sz val="9"/>
      <color theme="1"/>
      <name val="Calibri"/>
      <family val="2"/>
      <scheme val="minor"/>
    </font>
    <font>
      <sz val="18"/>
      <color theme="9" tint="-0.249977111117893"/>
      <name val="Calibri"/>
      <family val="2"/>
      <scheme val="minor"/>
    </font>
    <font>
      <sz val="11"/>
      <color theme="5" tint="-0.249977111117893"/>
      <name val="Calibri"/>
      <family val="2"/>
      <scheme val="minor"/>
    </font>
    <font>
      <sz val="12"/>
      <name val="Arial"/>
      <family val="2"/>
    </font>
    <font>
      <b/>
      <sz val="12"/>
      <name val="Arial"/>
      <family val="2"/>
    </font>
    <font>
      <b/>
      <sz val="11"/>
      <color theme="0" tint="-0.34998626667073579"/>
      <name val="Calibri"/>
      <family val="2"/>
      <scheme val="minor"/>
    </font>
    <font>
      <b/>
      <sz val="9"/>
      <color theme="1"/>
      <name val="Calibri"/>
      <family val="2"/>
      <scheme val="minor"/>
    </font>
    <font>
      <b/>
      <sz val="9"/>
      <color theme="2" tint="-0.499984740745262"/>
      <name val="Calibri"/>
      <family val="2"/>
      <scheme val="minor"/>
    </font>
    <font>
      <b/>
      <sz val="10"/>
      <color theme="2" tint="-0.499984740745262"/>
      <name val="Calibri"/>
      <family val="2"/>
      <scheme val="minor"/>
    </font>
    <font>
      <b/>
      <sz val="11"/>
      <color theme="2" tint="-0.499984740745262"/>
      <name val="Calibri"/>
      <family val="2"/>
      <scheme val="minor"/>
    </font>
    <font>
      <sz val="12"/>
      <color theme="2" tint="-0.249977111117893"/>
      <name val="Arial"/>
      <family val="2"/>
    </font>
    <font>
      <b/>
      <sz val="10"/>
      <color rgb="FF5F9025"/>
      <name val="Arial Unicode MS"/>
    </font>
    <font>
      <u/>
      <sz val="11"/>
      <color theme="1"/>
      <name val="Calibri"/>
      <family val="2"/>
      <scheme val="minor"/>
    </font>
    <font>
      <sz val="11"/>
      <color theme="1"/>
      <name val="Wingdings"/>
      <charset val="2"/>
    </font>
    <font>
      <i/>
      <sz val="11"/>
      <color rgb="FFFF5050"/>
      <name val="Calibri"/>
      <family val="2"/>
      <scheme val="minor"/>
    </font>
    <font>
      <b/>
      <sz val="10"/>
      <color rgb="FF333333"/>
      <name val="Consolas"/>
      <family val="3"/>
    </font>
    <font>
      <b/>
      <sz val="10"/>
      <color rgb="FF000000"/>
      <name val="Consolas"/>
      <family val="3"/>
    </font>
    <font>
      <sz val="11"/>
      <name val="Calibri"/>
      <family val="2"/>
      <scheme val="minor"/>
    </font>
    <font>
      <u/>
      <sz val="11"/>
      <color theme="2" tint="-0.249977111117893"/>
      <name val="Calibri"/>
      <family val="2"/>
      <scheme val="minor"/>
    </font>
    <font>
      <sz val="9"/>
      <color theme="2" tint="-0.249977111117893"/>
      <name val="Verdana"/>
      <family val="2"/>
    </font>
    <font>
      <sz val="11"/>
      <color theme="2" tint="-0.249977111117893"/>
      <name val="Calibri"/>
      <family val="2"/>
      <scheme val="minor"/>
    </font>
    <font>
      <sz val="11"/>
      <color theme="1"/>
      <name val="Calibri"/>
      <family val="2"/>
      <scheme val="minor"/>
    </font>
    <font>
      <sz val="11"/>
      <color theme="0"/>
      <name val="Calibri"/>
      <family val="2"/>
      <scheme val="minor"/>
    </font>
    <font>
      <sz val="9"/>
      <color indexed="81"/>
      <name val="Tahoma"/>
    </font>
    <font>
      <sz val="14"/>
      <color theme="0"/>
      <name val="Calibri"/>
      <family val="2"/>
      <scheme val="minor"/>
    </font>
  </fonts>
  <fills count="57">
    <fill>
      <patternFill patternType="none"/>
    </fill>
    <fill>
      <patternFill patternType="gray125"/>
    </fill>
    <fill>
      <patternFill patternType="solid">
        <fgColor rgb="FFFFEB9C"/>
      </patternFill>
    </fill>
    <fill>
      <patternFill patternType="solid">
        <fgColor theme="7" tint="0.79998168889431442"/>
        <bgColor indexed="64"/>
      </patternFill>
    </fill>
    <fill>
      <patternFill patternType="solid">
        <fgColor rgb="FFFCDDA0"/>
        <bgColor indexed="64"/>
      </patternFill>
    </fill>
    <fill>
      <patternFill patternType="solid">
        <fgColor rgb="FFFF0000"/>
        <bgColor indexed="64"/>
      </patternFill>
    </fill>
    <fill>
      <patternFill patternType="solid">
        <fgColor theme="7" tint="0.39997558519241921"/>
        <bgColor indexed="64"/>
      </patternFill>
    </fill>
    <fill>
      <patternFill patternType="solid">
        <fgColor rgb="FFFFCC66"/>
        <bgColor indexed="64"/>
      </patternFill>
    </fill>
    <fill>
      <patternFill patternType="solid">
        <fgColor rgb="FFFFFF99"/>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F2F2F2"/>
      </patternFill>
    </fill>
    <fill>
      <patternFill patternType="solid">
        <fgColor rgb="FFF8F2F2"/>
        <bgColor indexed="64"/>
      </patternFill>
    </fill>
    <fill>
      <patternFill patternType="solid">
        <fgColor rgb="FFF0FFFF"/>
        <bgColor indexed="64"/>
      </patternFill>
    </fill>
    <fill>
      <patternFill patternType="solid">
        <fgColor rgb="FFF0EFF5"/>
        <bgColor indexed="64"/>
      </patternFill>
    </fill>
    <fill>
      <patternFill patternType="solid">
        <fgColor rgb="FFF2F5EC"/>
        <bgColor indexed="64"/>
      </patternFill>
    </fill>
    <fill>
      <patternFill patternType="solid">
        <fgColor rgb="FFFFFF00"/>
        <bgColor indexed="64"/>
      </patternFill>
    </fill>
    <fill>
      <patternFill patternType="solid">
        <fgColor theme="9"/>
        <bgColor indexed="64"/>
      </patternFill>
    </fill>
    <fill>
      <patternFill patternType="solid">
        <fgColor theme="5"/>
        <bgColor indexed="64"/>
      </patternFill>
    </fill>
    <fill>
      <patternFill patternType="solid">
        <fgColor theme="8" tint="0.39997558519241921"/>
        <bgColor indexed="64"/>
      </patternFill>
    </fill>
    <fill>
      <patternFill patternType="solid">
        <fgColor theme="8"/>
        <bgColor indexed="64"/>
      </patternFill>
    </fill>
    <fill>
      <patternFill patternType="solid">
        <fgColor rgb="FF00B050"/>
        <bgColor indexed="64"/>
      </patternFill>
    </fill>
    <fill>
      <patternFill patternType="solid">
        <fgColor theme="9" tint="0.59999389629810485"/>
        <bgColor indexed="64"/>
      </patternFill>
    </fill>
    <fill>
      <patternFill patternType="solid">
        <fgColor rgb="FFFF5050"/>
        <bgColor indexed="64"/>
      </patternFill>
    </fill>
    <fill>
      <patternFill patternType="solid">
        <fgColor theme="4" tint="0.79998168889431442"/>
        <bgColor indexed="64"/>
      </patternFill>
    </fill>
    <fill>
      <patternFill patternType="solid">
        <fgColor rgb="FFDC8776"/>
        <bgColor indexed="64"/>
      </patternFill>
    </fill>
    <fill>
      <patternFill patternType="solid">
        <fgColor rgb="FFF0ECEC"/>
        <bgColor indexed="64"/>
      </patternFill>
    </fill>
    <fill>
      <patternFill patternType="solid">
        <fgColor rgb="FFD0CCDE"/>
        <bgColor indexed="64"/>
      </patternFill>
    </fill>
    <fill>
      <patternFill patternType="solid">
        <fgColor rgb="FFF6F5F9"/>
        <bgColor indexed="64"/>
      </patternFill>
    </fill>
    <fill>
      <patternFill patternType="solid">
        <fgColor rgb="FFB389D3"/>
        <bgColor indexed="64"/>
      </patternFill>
    </fill>
    <fill>
      <patternFill patternType="solid">
        <fgColor theme="0"/>
        <bgColor indexed="64"/>
      </patternFill>
    </fill>
    <fill>
      <patternFill patternType="solid">
        <fgColor theme="2" tint="-0.89999084444715716"/>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rgb="FFFFFFFF"/>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2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rgb="FFFF99CC"/>
        <bgColor indexed="64"/>
      </patternFill>
    </fill>
    <fill>
      <patternFill patternType="solid">
        <fgColor theme="5" tint="0.39997558519241921"/>
        <bgColor indexed="64"/>
      </patternFill>
    </fill>
    <fill>
      <patternFill patternType="solid">
        <fgColor theme="7" tint="-0.249977111117893"/>
        <bgColor indexed="64"/>
      </patternFill>
    </fill>
    <fill>
      <patternFill patternType="solid">
        <fgColor rgb="FFFF3300"/>
        <bgColor indexed="64"/>
      </patternFill>
    </fill>
    <fill>
      <patternFill patternType="solid">
        <fgColor theme="5" tint="0.39994506668294322"/>
        <bgColor indexed="64"/>
      </patternFill>
    </fill>
    <fill>
      <patternFill patternType="solid">
        <fgColor rgb="FFCC9900"/>
        <bgColor indexed="64"/>
      </patternFill>
    </fill>
    <fill>
      <patternFill patternType="solid">
        <fgColor theme="7" tint="0.59996337778862885"/>
        <bgColor indexed="64"/>
      </patternFill>
    </fill>
    <fill>
      <patternFill patternType="solid">
        <fgColor theme="5" tint="0.79998168889431442"/>
        <bgColor indexed="65"/>
      </patternFill>
    </fill>
    <fill>
      <patternFill patternType="solid">
        <fgColor theme="1" tint="0.499984740745262"/>
        <bgColor indexed="64"/>
      </patternFill>
    </fill>
    <fill>
      <patternFill patternType="solid">
        <fgColor theme="1" tint="0.34998626667073579"/>
        <bgColor indexed="64"/>
      </patternFill>
    </fill>
    <fill>
      <patternFill patternType="solid">
        <fgColor theme="3" tint="-0.249977111117893"/>
        <bgColor indexed="64"/>
      </patternFill>
    </fill>
    <fill>
      <patternFill patternType="solid">
        <fgColor theme="1"/>
        <bgColor indexed="64"/>
      </patternFill>
    </fill>
    <fill>
      <patternFill patternType="solid">
        <fgColor theme="7"/>
        <bgColor indexed="64"/>
      </patternFill>
    </fill>
    <fill>
      <patternFill patternType="solid">
        <fgColor rgb="FFFFF8E5"/>
        <bgColor indexed="64"/>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rgb="FF3F3F3F"/>
      </left>
      <right style="thin">
        <color rgb="FF3F3F3F"/>
      </right>
      <top style="thin">
        <color rgb="FF3F3F3F"/>
      </top>
      <bottom style="thin">
        <color rgb="FF3F3F3F"/>
      </bottom>
      <diagonal/>
    </border>
    <border>
      <left style="medium">
        <color indexed="64"/>
      </left>
      <right style="medium">
        <color indexed="64"/>
      </right>
      <top/>
      <bottom style="medium">
        <color indexed="64"/>
      </bottom>
      <diagonal/>
    </border>
    <border>
      <left style="thin">
        <color theme="1"/>
      </left>
      <right/>
      <top style="thin">
        <color theme="1"/>
      </top>
      <bottom/>
      <diagonal/>
    </border>
    <border>
      <left style="thin">
        <color theme="1"/>
      </left>
      <right/>
      <top style="thin">
        <color theme="0" tint="-0.24994659260841701"/>
      </top>
      <bottom style="thin">
        <color theme="0" tint="-0.24994659260841701"/>
      </bottom>
      <diagonal/>
    </border>
    <border>
      <left style="thin">
        <color auto="1"/>
      </left>
      <right style="thin">
        <color auto="1"/>
      </right>
      <top style="thin">
        <color theme="0" tint="-0.14993743705557422"/>
      </top>
      <bottom style="thin">
        <color theme="0" tint="-0.14993743705557422"/>
      </bottom>
      <diagonal/>
    </border>
    <border>
      <left style="thin">
        <color auto="1"/>
      </left>
      <right style="thin">
        <color auto="1"/>
      </right>
      <top style="thin">
        <color theme="0" tint="-0.14993743705557422"/>
      </top>
      <bottom style="thin">
        <color auto="1"/>
      </bottom>
      <diagonal/>
    </border>
    <border>
      <left/>
      <right style="thin">
        <color rgb="FF3F3F3F"/>
      </right>
      <top style="thin">
        <color rgb="FF3F3F3F"/>
      </top>
      <bottom style="thin">
        <color rgb="FF3F3F3F"/>
      </bottom>
      <diagonal/>
    </border>
    <border>
      <left style="thin">
        <color indexed="64"/>
      </left>
      <right style="thin">
        <color indexed="64"/>
      </right>
      <top style="thin">
        <color theme="0" tint="-0.24994659260841701"/>
      </top>
      <bottom style="thin">
        <color theme="0" tint="-0.24994659260841701"/>
      </bottom>
      <diagonal/>
    </border>
    <border>
      <left/>
      <right style="thin">
        <color indexed="64"/>
      </right>
      <top style="thin">
        <color indexed="64"/>
      </top>
      <bottom style="thin">
        <color theme="0" tint="-0.2499465926084170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bottom style="thin">
        <color theme="0" tint="-0.24994659260841701"/>
      </bottom>
      <diagonal/>
    </border>
    <border>
      <left style="medium">
        <color indexed="64"/>
      </left>
      <right style="medium">
        <color indexed="64"/>
      </right>
      <top style="medium">
        <color indexed="64"/>
      </top>
      <bottom style="medium">
        <color indexed="64"/>
      </bottom>
      <diagonal/>
    </border>
    <border>
      <left style="thin">
        <color theme="1"/>
      </left>
      <right/>
      <top style="thin">
        <color theme="0" tint="-0.24994659260841701"/>
      </top>
      <bottom style="thin">
        <color indexed="64"/>
      </bottom>
      <diagonal/>
    </border>
    <border>
      <left style="thin">
        <color indexed="64"/>
      </left>
      <right style="thin">
        <color indexed="64"/>
      </right>
      <top style="thin">
        <color theme="0" tint="-0.24994659260841701"/>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top style="dotted">
        <color theme="3" tint="0.39994506668294322"/>
      </top>
      <bottom style="dotted">
        <color theme="3" tint="0.39994506668294322"/>
      </bottom>
      <diagonal/>
    </border>
    <border>
      <left/>
      <right style="dotted">
        <color theme="3" tint="0.39994506668294322"/>
      </right>
      <top style="dotted">
        <color theme="3" tint="0.39994506668294322"/>
      </top>
      <bottom style="dotted">
        <color theme="3" tint="0.39994506668294322"/>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63"/>
      </left>
      <right style="thick">
        <color indexed="63"/>
      </right>
      <top style="thin">
        <color indexed="63"/>
      </top>
      <bottom style="thin">
        <color indexed="63"/>
      </bottom>
      <diagonal/>
    </border>
    <border>
      <left/>
      <right style="thin">
        <color indexed="63"/>
      </right>
      <top style="thin">
        <color indexed="63"/>
      </top>
      <bottom style="thin">
        <color indexed="63"/>
      </bottom>
      <diagonal/>
    </border>
    <border>
      <left style="thin">
        <color indexed="63"/>
      </left>
      <right style="thin">
        <color indexed="63"/>
      </right>
      <top style="thin">
        <color indexed="63"/>
      </top>
      <bottom/>
      <diagonal/>
    </border>
    <border>
      <left style="thin">
        <color indexed="63"/>
      </left>
      <right style="thick">
        <color indexed="63"/>
      </right>
      <top style="thin">
        <color indexed="63"/>
      </top>
      <bottom/>
      <diagonal/>
    </border>
    <border>
      <left/>
      <right style="thin">
        <color indexed="63"/>
      </right>
      <top style="thin">
        <color indexed="63"/>
      </top>
      <bottom/>
      <diagonal/>
    </border>
    <border>
      <left style="thin">
        <color indexed="63"/>
      </left>
      <right style="thin">
        <color indexed="63"/>
      </right>
      <top style="thick">
        <color indexed="63"/>
      </top>
      <bottom style="thin">
        <color indexed="63"/>
      </bottom>
      <diagonal/>
    </border>
    <border>
      <left style="thin">
        <color indexed="63"/>
      </left>
      <right style="thick">
        <color indexed="63"/>
      </right>
      <top style="thick">
        <color indexed="63"/>
      </top>
      <bottom style="thin">
        <color indexed="63"/>
      </bottom>
      <diagonal/>
    </border>
    <border>
      <left/>
      <right style="thin">
        <color indexed="63"/>
      </right>
      <top style="thick">
        <color indexed="63"/>
      </top>
      <bottom style="thin">
        <color indexed="63"/>
      </bottom>
      <diagonal/>
    </border>
    <border>
      <left style="thick">
        <color indexed="63"/>
      </left>
      <right style="thin">
        <color indexed="63"/>
      </right>
      <top style="thick">
        <color indexed="63"/>
      </top>
      <bottom style="thin">
        <color indexed="63"/>
      </bottom>
      <diagonal/>
    </border>
    <border>
      <left style="medium">
        <color rgb="FFCCCCCC"/>
      </left>
      <right style="medium">
        <color rgb="FFCCCCCC"/>
      </right>
      <top style="medium">
        <color rgb="FFCCCCCC"/>
      </top>
      <bottom style="medium">
        <color rgb="FFCCCCCC"/>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dotted">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top style="medium">
        <color indexed="64"/>
      </top>
      <bottom style="thin">
        <color indexed="64"/>
      </bottom>
      <diagonal/>
    </border>
  </borders>
  <cellStyleXfs count="9">
    <xf numFmtId="0" fontId="0" fillId="0" borderId="0"/>
    <xf numFmtId="0" fontId="2" fillId="0" borderId="0"/>
    <xf numFmtId="0" fontId="4" fillId="2" borderId="0" applyNumberFormat="0" applyBorder="0" applyAlignment="0" applyProtection="0"/>
    <xf numFmtId="0" fontId="2" fillId="0" borderId="0" applyNumberFormat="0" applyFill="0" applyBorder="0" applyAlignment="0" applyProtection="0"/>
    <xf numFmtId="0" fontId="17" fillId="11" borderId="6" applyNumberFormat="0" applyAlignment="0" applyProtection="0"/>
    <xf numFmtId="0" fontId="55" fillId="34" borderId="1">
      <alignment horizontal="center" vertical="center" wrapText="1"/>
    </xf>
    <xf numFmtId="0" fontId="70" fillId="3" borderId="44" applyFont="0" applyBorder="0">
      <alignment horizontal="center" vertical="center" wrapText="1"/>
      <protection locked="0"/>
    </xf>
    <xf numFmtId="0" fontId="70" fillId="43" borderId="44" applyFont="0" applyBorder="0">
      <alignment horizontal="center" vertical="center" wrapText="1"/>
      <protection locked="0"/>
    </xf>
    <xf numFmtId="0" fontId="81" fillId="50" borderId="0" applyNumberFormat="0" applyBorder="0" applyAlignment="0" applyProtection="0"/>
  </cellStyleXfs>
  <cellXfs count="517">
    <xf numFmtId="0" fontId="0" fillId="0" borderId="0" xfId="0"/>
    <xf numFmtId="164" fontId="0" fillId="0" borderId="0" xfId="0" applyNumberFormat="1"/>
    <xf numFmtId="0" fontId="0" fillId="0" borderId="2" xfId="0" applyBorder="1"/>
    <xf numFmtId="0" fontId="0" fillId="0" borderId="3" xfId="0" applyBorder="1"/>
    <xf numFmtId="0" fontId="0" fillId="0" borderId="2" xfId="0" applyBorder="1" applyAlignment="1">
      <alignment horizontal="center"/>
    </xf>
    <xf numFmtId="0" fontId="0" fillId="0" borderId="0" xfId="0" applyAlignment="1">
      <alignment horizontal="center"/>
    </xf>
    <xf numFmtId="0" fontId="5" fillId="0" borderId="1" xfId="0" applyFont="1" applyBorder="1" applyAlignment="1">
      <alignment horizontal="center" vertical="center"/>
    </xf>
    <xf numFmtId="14" fontId="0" fillId="0" borderId="0" xfId="0" applyNumberFormat="1"/>
    <xf numFmtId="164" fontId="2" fillId="0" borderId="2" xfId="1" applyNumberFormat="1" applyBorder="1" applyAlignment="1">
      <alignment horizontal="center" vertical="center"/>
    </xf>
    <xf numFmtId="0" fontId="4" fillId="4" borderId="1" xfId="2" applyFill="1" applyBorder="1" applyAlignment="1">
      <alignment horizontal="left"/>
    </xf>
    <xf numFmtId="0" fontId="5" fillId="0" borderId="0" xfId="0" applyFont="1"/>
    <xf numFmtId="0" fontId="0" fillId="0" borderId="0" xfId="0"/>
    <xf numFmtId="0" fontId="3" fillId="0" borderId="0" xfId="0" applyFont="1"/>
    <xf numFmtId="0" fontId="0" fillId="0" borderId="3" xfId="0" applyBorder="1" applyAlignment="1">
      <alignment horizontal="center"/>
    </xf>
    <xf numFmtId="0" fontId="0" fillId="6" borderId="1" xfId="0" applyFill="1" applyBorder="1"/>
    <xf numFmtId="0" fontId="4" fillId="8" borderId="1" xfId="2" applyFill="1" applyBorder="1" applyAlignment="1">
      <alignment horizontal="left"/>
    </xf>
    <xf numFmtId="0" fontId="0" fillId="10" borderId="0" xfId="0" applyFill="1"/>
    <xf numFmtId="164" fontId="1" fillId="0" borderId="1" xfId="0" applyNumberFormat="1" applyFont="1" applyBorder="1" applyAlignment="1">
      <alignment horizontal="left"/>
    </xf>
    <xf numFmtId="0" fontId="1" fillId="0" borderId="1" xfId="0" applyFont="1" applyBorder="1" applyAlignment="1">
      <alignment horizontal="left"/>
    </xf>
    <xf numFmtId="0" fontId="0" fillId="0" borderId="0" xfId="0" applyAlignment="1">
      <alignment horizontal="left"/>
    </xf>
    <xf numFmtId="0" fontId="8" fillId="0" borderId="0" xfId="0" applyFont="1" applyAlignment="1">
      <alignment vertical="center"/>
    </xf>
    <xf numFmtId="0" fontId="5" fillId="0" borderId="1" xfId="0" applyFont="1" applyBorder="1"/>
    <xf numFmtId="165" fontId="5" fillId="0" borderId="1" xfId="0" applyNumberFormat="1" applyFont="1" applyBorder="1"/>
    <xf numFmtId="0" fontId="1" fillId="0" borderId="1" xfId="0" applyFont="1" applyBorder="1" applyAlignment="1">
      <alignment horizontal="center" vertical="center"/>
    </xf>
    <xf numFmtId="164" fontId="2" fillId="0" borderId="3" xfId="1" applyNumberFormat="1" applyBorder="1" applyAlignment="1">
      <alignment horizontal="center" vertical="center"/>
    </xf>
    <xf numFmtId="0" fontId="3" fillId="0" borderId="5" xfId="0" applyFont="1" applyBorder="1"/>
    <xf numFmtId="0" fontId="0" fillId="0" borderId="5" xfId="0" applyBorder="1"/>
    <xf numFmtId="0" fontId="20" fillId="0" borderId="0" xfId="0" applyFont="1"/>
    <xf numFmtId="0" fontId="5" fillId="0" borderId="4" xfId="0" applyFont="1" applyBorder="1"/>
    <xf numFmtId="0" fontId="0" fillId="13" borderId="8" xfId="0" applyFill="1" applyBorder="1"/>
    <xf numFmtId="0" fontId="0" fillId="13" borderId="9" xfId="0" applyFill="1" applyBorder="1"/>
    <xf numFmtId="0" fontId="5" fillId="0" borderId="4" xfId="0" applyFont="1" applyFill="1" applyBorder="1"/>
    <xf numFmtId="0" fontId="0" fillId="14" borderId="10" xfId="0" applyFill="1" applyBorder="1"/>
    <xf numFmtId="0" fontId="0" fillId="14" borderId="11" xfId="0" applyFill="1" applyBorder="1"/>
    <xf numFmtId="0" fontId="0" fillId="0" borderId="0" xfId="0" applyProtection="1"/>
    <xf numFmtId="0" fontId="5" fillId="0" borderId="1" xfId="0" applyFont="1" applyBorder="1" applyProtection="1">
      <protection locked="0"/>
    </xf>
    <xf numFmtId="0" fontId="0" fillId="0" borderId="0" xfId="0" applyProtection="1">
      <protection locked="0"/>
    </xf>
    <xf numFmtId="0" fontId="18" fillId="0" borderId="1" xfId="0" applyFont="1" applyBorder="1" applyProtection="1">
      <protection locked="0"/>
    </xf>
    <xf numFmtId="0" fontId="5" fillId="0" borderId="0" xfId="0" applyFont="1" applyProtection="1">
      <protection locked="0"/>
    </xf>
    <xf numFmtId="0" fontId="17" fillId="11" borderId="12" xfId="4" applyBorder="1" applyProtection="1">
      <protection locked="0"/>
    </xf>
    <xf numFmtId="0" fontId="17" fillId="11" borderId="6" xfId="4" applyProtection="1">
      <protection locked="0"/>
    </xf>
    <xf numFmtId="0" fontId="19" fillId="0" borderId="1" xfId="0" applyFont="1" applyBorder="1" applyAlignment="1" applyProtection="1">
      <alignment horizontal="right" vertical="center"/>
      <protection locked="0"/>
    </xf>
    <xf numFmtId="0" fontId="3" fillId="0" borderId="2" xfId="0" applyFont="1" applyBorder="1" applyProtection="1">
      <protection locked="0"/>
    </xf>
    <xf numFmtId="0" fontId="0" fillId="0" borderId="2" xfId="0" applyBorder="1" applyProtection="1">
      <protection locked="0"/>
    </xf>
    <xf numFmtId="0" fontId="0" fillId="0" borderId="3" xfId="0" applyBorder="1" applyProtection="1">
      <protection locked="0"/>
    </xf>
    <xf numFmtId="0" fontId="17" fillId="15" borderId="13" xfId="4" applyFill="1" applyBorder="1" applyAlignment="1" applyProtection="1">
      <alignment horizontal="right"/>
    </xf>
    <xf numFmtId="0" fontId="17" fillId="12" borderId="14" xfId="4" applyFill="1" applyBorder="1" applyAlignment="1" applyProtection="1">
      <alignment horizontal="right"/>
    </xf>
    <xf numFmtId="0" fontId="0" fillId="0" borderId="17" xfId="0" applyBorder="1" applyProtection="1">
      <protection locked="0"/>
    </xf>
    <xf numFmtId="0" fontId="0" fillId="0" borderId="18" xfId="0" applyBorder="1" applyProtection="1">
      <protection locked="0"/>
    </xf>
    <xf numFmtId="0" fontId="5" fillId="0" borderId="2" xfId="0" applyFont="1" applyBorder="1" applyProtection="1"/>
    <xf numFmtId="0" fontId="5" fillId="0" borderId="3" xfId="0" applyFont="1" applyBorder="1" applyProtection="1"/>
    <xf numFmtId="0" fontId="5" fillId="0" borderId="1" xfId="0" applyFont="1" applyBorder="1" applyProtection="1"/>
    <xf numFmtId="0" fontId="22" fillId="0" borderId="0" xfId="0" applyFont="1"/>
    <xf numFmtId="0" fontId="23" fillId="0" borderId="0" xfId="0" applyFont="1" applyAlignment="1">
      <alignment vertical="center"/>
    </xf>
    <xf numFmtId="0" fontId="25" fillId="6" borderId="1" xfId="0" applyFont="1" applyFill="1" applyBorder="1"/>
    <xf numFmtId="0" fontId="26" fillId="2" borderId="1" xfId="2" applyFont="1" applyBorder="1" applyAlignment="1">
      <alignment horizontal="left"/>
    </xf>
    <xf numFmtId="0" fontId="25" fillId="9" borderId="1" xfId="0" applyFont="1" applyFill="1" applyBorder="1"/>
    <xf numFmtId="0" fontId="26" fillId="5" borderId="1" xfId="2" applyFont="1" applyFill="1" applyBorder="1" applyAlignment="1">
      <alignment horizontal="left"/>
    </xf>
    <xf numFmtId="0" fontId="5" fillId="0" borderId="1" xfId="0" applyFont="1" applyBorder="1" applyAlignment="1">
      <alignment horizontal="center" vertical="center"/>
    </xf>
    <xf numFmtId="0" fontId="17" fillId="15" borderId="28" xfId="4" applyFill="1" applyBorder="1" applyAlignment="1" applyProtection="1">
      <alignment horizontal="right"/>
    </xf>
    <xf numFmtId="0" fontId="4" fillId="3" borderId="1" xfId="2" applyFill="1" applyBorder="1" applyAlignment="1">
      <alignment horizontal="left" vertical="center"/>
    </xf>
    <xf numFmtId="0" fontId="4" fillId="7" borderId="1" xfId="2" applyFill="1" applyBorder="1" applyAlignment="1">
      <alignment horizontal="left" vertical="center"/>
    </xf>
    <xf numFmtId="0" fontId="27" fillId="0" borderId="0" xfId="0" applyFont="1"/>
    <xf numFmtId="0" fontId="6" fillId="0" borderId="1" xfId="0" applyFont="1" applyBorder="1" applyAlignment="1">
      <alignment horizontal="center" vertical="center"/>
    </xf>
    <xf numFmtId="0" fontId="6" fillId="0" borderId="1" xfId="0" applyFont="1" applyBorder="1" applyAlignment="1">
      <alignment horizontal="left" vertical="center"/>
    </xf>
    <xf numFmtId="0" fontId="28" fillId="0" borderId="1" xfId="0" applyFont="1" applyBorder="1" applyAlignment="1">
      <alignment vertical="center"/>
    </xf>
    <xf numFmtId="0" fontId="5" fillId="0" borderId="29" xfId="0" applyFont="1" applyBorder="1" applyAlignment="1">
      <alignment vertical="center"/>
    </xf>
    <xf numFmtId="0" fontId="29" fillId="0" borderId="3" xfId="0" applyFont="1" applyBorder="1"/>
    <xf numFmtId="0" fontId="31" fillId="0" borderId="1" xfId="0" applyFont="1" applyBorder="1" applyAlignment="1">
      <alignment vertical="center"/>
    </xf>
    <xf numFmtId="0" fontId="32" fillId="0" borderId="0" xfId="0" applyFont="1"/>
    <xf numFmtId="0" fontId="33" fillId="0" borderId="2" xfId="0" applyFont="1" applyBorder="1" applyAlignment="1">
      <alignment horizontal="center"/>
    </xf>
    <xf numFmtId="0" fontId="34" fillId="0" borderId="2" xfId="0" applyFont="1" applyBorder="1"/>
    <xf numFmtId="0" fontId="32" fillId="0" borderId="17" xfId="0" applyFont="1" applyBorder="1" applyAlignment="1">
      <alignment horizontal="center"/>
    </xf>
    <xf numFmtId="0" fontId="34" fillId="0" borderId="2" xfId="0" applyFont="1" applyBorder="1" applyAlignment="1">
      <alignment horizontal="left" vertical="center"/>
    </xf>
    <xf numFmtId="0" fontId="34" fillId="0" borderId="0" xfId="0" applyFont="1"/>
    <xf numFmtId="0" fontId="35" fillId="0" borderId="0" xfId="0" applyFont="1"/>
    <xf numFmtId="0" fontId="36" fillId="0" borderId="0" xfId="0" applyFont="1"/>
    <xf numFmtId="164" fontId="38" fillId="0" borderId="2" xfId="1" applyNumberFormat="1" applyFont="1" applyBorder="1" applyAlignment="1">
      <alignment horizontal="center" vertical="center"/>
    </xf>
    <xf numFmtId="1" fontId="27" fillId="0" borderId="0" xfId="0" applyNumberFormat="1" applyFont="1"/>
    <xf numFmtId="0" fontId="39" fillId="0" borderId="2" xfId="0" applyFont="1" applyBorder="1" applyAlignment="1">
      <alignment horizontal="center"/>
    </xf>
    <xf numFmtId="0" fontId="2" fillId="0" borderId="0" xfId="1"/>
    <xf numFmtId="0" fontId="0" fillId="0" borderId="0" xfId="0" applyAlignment="1">
      <alignment wrapText="1"/>
    </xf>
    <xf numFmtId="22" fontId="0" fillId="0" borderId="0" xfId="0" applyNumberFormat="1" applyAlignment="1">
      <alignment horizontal="left" vertical="center"/>
    </xf>
    <xf numFmtId="0" fontId="5" fillId="0" borderId="23" xfId="0" applyFont="1" applyBorder="1"/>
    <xf numFmtId="0" fontId="5" fillId="0" borderId="29" xfId="0" applyFont="1" applyBorder="1"/>
    <xf numFmtId="0" fontId="0" fillId="0" borderId="0" xfId="0" applyAlignment="1">
      <alignment vertical="center" wrapText="1"/>
    </xf>
    <xf numFmtId="0" fontId="0" fillId="0" borderId="0" xfId="0" applyAlignment="1">
      <alignment vertical="center"/>
    </xf>
    <xf numFmtId="0" fontId="5" fillId="0" borderId="16" xfId="0" applyFont="1" applyFill="1" applyBorder="1"/>
    <xf numFmtId="0" fontId="0" fillId="0" borderId="0" xfId="0" applyAlignment="1">
      <alignment vertical="top" wrapText="1"/>
    </xf>
    <xf numFmtId="0" fontId="0" fillId="0" borderId="0" xfId="0" applyAlignment="1">
      <alignment horizontal="left" vertical="center"/>
    </xf>
    <xf numFmtId="0" fontId="0" fillId="0" borderId="0" xfId="0" applyAlignment="1">
      <alignment horizontal="left" vertical="center" wrapText="1"/>
    </xf>
    <xf numFmtId="0" fontId="5" fillId="0" borderId="29" xfId="0" applyFont="1" applyFill="1" applyBorder="1"/>
    <xf numFmtId="22" fontId="0" fillId="0" borderId="0" xfId="0" applyNumberFormat="1" applyAlignment="1">
      <alignment horizontal="left" vertical="center" wrapText="1"/>
    </xf>
    <xf numFmtId="0" fontId="0" fillId="0" borderId="0" xfId="0" applyAlignment="1">
      <alignment horizontal="left" vertical="top" wrapText="1"/>
    </xf>
    <xf numFmtId="0" fontId="0" fillId="0" borderId="0" xfId="0" applyAlignment="1">
      <alignment horizontal="center" vertical="top" wrapText="1"/>
    </xf>
    <xf numFmtId="0" fontId="0" fillId="0" borderId="0" xfId="0" applyAlignment="1">
      <alignment horizontal="center" vertical="center"/>
    </xf>
    <xf numFmtId="22" fontId="5" fillId="0" borderId="0" xfId="0" applyNumberFormat="1" applyFont="1" applyAlignment="1">
      <alignment horizontal="left" vertical="center"/>
    </xf>
    <xf numFmtId="0" fontId="5" fillId="0" borderId="0" xfId="0" applyFont="1" applyBorder="1"/>
    <xf numFmtId="0" fontId="5" fillId="0" borderId="0" xfId="0" applyFont="1" applyFill="1" applyBorder="1"/>
    <xf numFmtId="22" fontId="1" fillId="0" borderId="0" xfId="0" applyNumberFormat="1" applyFont="1" applyAlignment="1">
      <alignment horizontal="left" vertical="center"/>
    </xf>
    <xf numFmtId="21" fontId="0" fillId="0" borderId="0" xfId="0" applyNumberFormat="1" applyAlignment="1">
      <alignment horizontal="left" vertical="center"/>
    </xf>
    <xf numFmtId="18" fontId="0" fillId="0" borderId="0" xfId="0" applyNumberFormat="1" applyAlignment="1">
      <alignment wrapText="1"/>
    </xf>
    <xf numFmtId="0" fontId="0" fillId="0" borderId="0" xfId="0" applyAlignment="1">
      <alignment vertical="top"/>
    </xf>
    <xf numFmtId="14" fontId="0" fillId="0" borderId="0" xfId="0" applyNumberFormat="1" applyAlignment="1">
      <alignment horizontal="center"/>
    </xf>
    <xf numFmtId="1" fontId="0" fillId="0" borderId="0" xfId="0" applyNumberFormat="1"/>
    <xf numFmtId="1" fontId="0" fillId="0" borderId="0" xfId="0" applyNumberFormat="1" applyBorder="1" applyAlignment="1"/>
    <xf numFmtId="1" fontId="0" fillId="0" borderId="0" xfId="0" applyNumberFormat="1" applyAlignment="1">
      <alignment horizontal="left"/>
    </xf>
    <xf numFmtId="1" fontId="0" fillId="0" borderId="23" xfId="0" applyNumberFormat="1" applyBorder="1" applyAlignment="1"/>
    <xf numFmtId="1" fontId="0" fillId="0" borderId="5" xfId="0" applyNumberFormat="1" applyBorder="1" applyAlignment="1"/>
    <xf numFmtId="1" fontId="37" fillId="17" borderId="3" xfId="0" applyNumberFormat="1" applyFont="1" applyFill="1" applyBorder="1"/>
    <xf numFmtId="1" fontId="5" fillId="18" borderId="3" xfId="0" applyNumberFormat="1" applyFont="1" applyFill="1" applyBorder="1"/>
    <xf numFmtId="1" fontId="5" fillId="5" borderId="3" xfId="0" applyNumberFormat="1" applyFont="1" applyFill="1" applyBorder="1" applyAlignment="1">
      <alignment horizontal="left"/>
    </xf>
    <xf numFmtId="1" fontId="5" fillId="19" borderId="3" xfId="0" applyNumberFormat="1" applyFont="1" applyFill="1" applyBorder="1"/>
    <xf numFmtId="1" fontId="5" fillId="21" borderId="1" xfId="0" applyNumberFormat="1" applyFont="1" applyFill="1" applyBorder="1"/>
    <xf numFmtId="1" fontId="0" fillId="0" borderId="2" xfId="0" applyNumberFormat="1" applyBorder="1"/>
    <xf numFmtId="1" fontId="0" fillId="0" borderId="3" xfId="0" applyNumberFormat="1" applyBorder="1"/>
    <xf numFmtId="0" fontId="0" fillId="13" borderId="30" xfId="0" applyFill="1" applyBorder="1"/>
    <xf numFmtId="0" fontId="0" fillId="0" borderId="0" xfId="0" applyBorder="1" applyProtection="1"/>
    <xf numFmtId="0" fontId="0" fillId="0" borderId="5" xfId="0" applyBorder="1" applyProtection="1"/>
    <xf numFmtId="0" fontId="17" fillId="15" borderId="31" xfId="4" applyFill="1" applyBorder="1" applyAlignment="1" applyProtection="1">
      <alignment horizontal="right"/>
    </xf>
    <xf numFmtId="0" fontId="17" fillId="12" borderId="32" xfId="4" applyFill="1" applyBorder="1" applyAlignment="1" applyProtection="1">
      <alignment horizontal="right"/>
    </xf>
    <xf numFmtId="1" fontId="0" fillId="17" borderId="1" xfId="0" applyNumberFormat="1" applyFill="1" applyBorder="1" applyAlignment="1"/>
    <xf numFmtId="1" fontId="0" fillId="18" borderId="1" xfId="0" applyNumberFormat="1" applyFill="1" applyBorder="1" applyAlignment="1"/>
    <xf numFmtId="1" fontId="0" fillId="5" borderId="1" xfId="0" applyNumberFormat="1" applyFill="1" applyBorder="1" applyAlignment="1">
      <alignment vertical="top"/>
    </xf>
    <xf numFmtId="1" fontId="0" fillId="20" borderId="1" xfId="0" applyNumberFormat="1" applyFill="1" applyBorder="1" applyAlignment="1">
      <alignment vertical="top"/>
    </xf>
    <xf numFmtId="1" fontId="0" fillId="16" borderId="1" xfId="0" applyNumberFormat="1" applyFill="1" applyBorder="1" applyAlignment="1">
      <alignment horizontal="left" vertical="top"/>
    </xf>
    <xf numFmtId="1" fontId="5" fillId="22" borderId="1" xfId="0" applyNumberFormat="1" applyFont="1" applyFill="1" applyBorder="1" applyAlignment="1"/>
    <xf numFmtId="1" fontId="5" fillId="9" borderId="1" xfId="0" applyNumberFormat="1" applyFont="1" applyFill="1" applyBorder="1" applyAlignment="1"/>
    <xf numFmtId="1" fontId="5" fillId="23" borderId="1" xfId="0" applyNumberFormat="1" applyFont="1" applyFill="1" applyBorder="1" applyAlignment="1">
      <alignment vertical="top"/>
    </xf>
    <xf numFmtId="1" fontId="5" fillId="24" borderId="1" xfId="0" applyNumberFormat="1" applyFont="1" applyFill="1" applyBorder="1" applyAlignment="1">
      <alignment vertical="top"/>
    </xf>
    <xf numFmtId="1" fontId="5" fillId="3" borderId="1" xfId="0" applyNumberFormat="1" applyFont="1" applyFill="1" applyBorder="1" applyAlignment="1">
      <alignment horizontal="left" vertical="top"/>
    </xf>
    <xf numFmtId="0" fontId="0" fillId="30" borderId="0" xfId="0" applyFill="1"/>
    <xf numFmtId="166" fontId="0" fillId="30" borderId="0" xfId="0" applyNumberFormat="1" applyFill="1"/>
    <xf numFmtId="164" fontId="45" fillId="30" borderId="0" xfId="0" applyNumberFormat="1" applyFont="1" applyFill="1"/>
    <xf numFmtId="0" fontId="7" fillId="29" borderId="29" xfId="0" applyFont="1" applyFill="1" applyBorder="1" applyAlignment="1">
      <alignment horizontal="center" vertical="center"/>
    </xf>
    <xf numFmtId="14" fontId="44" fillId="30" borderId="1" xfId="0" applyNumberFormat="1" applyFont="1" applyFill="1" applyBorder="1" applyAlignment="1">
      <alignment horizontal="center" vertical="center"/>
    </xf>
    <xf numFmtId="0" fontId="15" fillId="0" borderId="5" xfId="0" applyFont="1" applyBorder="1" applyAlignment="1">
      <alignment horizontal="center" vertical="center"/>
    </xf>
    <xf numFmtId="0" fontId="47" fillId="9" borderId="1" xfId="0" applyFont="1" applyFill="1" applyBorder="1"/>
    <xf numFmtId="1" fontId="0" fillId="0" borderId="17" xfId="0" applyNumberFormat="1" applyBorder="1"/>
    <xf numFmtId="0" fontId="0" fillId="0" borderId="2" xfId="0" applyNumberFormat="1" applyBorder="1"/>
    <xf numFmtId="0" fontId="0" fillId="0" borderId="3" xfId="0" applyNumberFormat="1" applyBorder="1"/>
    <xf numFmtId="0" fontId="5" fillId="0" borderId="1" xfId="0" applyFont="1" applyBorder="1" applyAlignment="1">
      <alignment horizontal="center" vertical="center"/>
    </xf>
    <xf numFmtId="0" fontId="5" fillId="0" borderId="1" xfId="0" applyFont="1" applyBorder="1" applyAlignment="1">
      <alignment horizontal="left" vertical="center"/>
    </xf>
    <xf numFmtId="0" fontId="8" fillId="0" borderId="1" xfId="0" applyFont="1" applyBorder="1" applyAlignment="1">
      <alignment horizontal="center" vertical="center"/>
    </xf>
    <xf numFmtId="0" fontId="9" fillId="0" borderId="1" xfId="0" applyFont="1" applyBorder="1" applyAlignment="1">
      <alignment horizontal="center" vertical="center"/>
    </xf>
    <xf numFmtId="0" fontId="10" fillId="0" borderId="1" xfId="0" applyFont="1" applyBorder="1" applyAlignment="1">
      <alignment horizontal="center" vertical="center"/>
    </xf>
    <xf numFmtId="0" fontId="11" fillId="0" borderId="1"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left" vertical="center"/>
    </xf>
    <xf numFmtId="1" fontId="50" fillId="0" borderId="24" xfId="0" applyNumberFormat="1" applyFont="1" applyBorder="1" applyAlignment="1"/>
    <xf numFmtId="1" fontId="51" fillId="0" borderId="0" xfId="0" applyNumberFormat="1" applyFont="1"/>
    <xf numFmtId="164" fontId="2" fillId="0" borderId="0" xfId="1" applyNumberFormat="1" applyBorder="1" applyAlignment="1">
      <alignment horizontal="center" vertical="center"/>
    </xf>
    <xf numFmtId="167" fontId="0" fillId="10" borderId="0" xfId="0" applyNumberFormat="1" applyFill="1"/>
    <xf numFmtId="167" fontId="0" fillId="0" borderId="0" xfId="0" applyNumberFormat="1" applyFill="1"/>
    <xf numFmtId="167" fontId="0" fillId="0" borderId="0" xfId="0" applyNumberFormat="1"/>
    <xf numFmtId="167" fontId="46" fillId="27" borderId="0" xfId="0" applyNumberFormat="1" applyFont="1" applyFill="1" applyAlignment="1">
      <alignment horizontal="center" vertical="center"/>
    </xf>
    <xf numFmtId="167" fontId="46" fillId="25" borderId="0" xfId="0" applyNumberFormat="1" applyFont="1" applyFill="1" applyAlignment="1">
      <alignment horizontal="center" vertical="center"/>
    </xf>
    <xf numFmtId="167" fontId="7" fillId="0" borderId="29" xfId="0" applyNumberFormat="1" applyFont="1" applyBorder="1"/>
    <xf numFmtId="167" fontId="0" fillId="0" borderId="41" xfId="0" applyNumberFormat="1" applyBorder="1"/>
    <xf numFmtId="167" fontId="0" fillId="0" borderId="39" xfId="0" applyNumberFormat="1" applyBorder="1"/>
    <xf numFmtId="167" fontId="0" fillId="0" borderId="40" xfId="0" applyNumberFormat="1" applyBorder="1"/>
    <xf numFmtId="167" fontId="0" fillId="33" borderId="1" xfId="0" applyNumberFormat="1" applyFill="1" applyBorder="1"/>
    <xf numFmtId="167" fontId="0" fillId="33" borderId="1" xfId="0" applyNumberFormat="1" applyFill="1" applyBorder="1" applyAlignment="1">
      <alignment horizontal="left"/>
    </xf>
    <xf numFmtId="167" fontId="0" fillId="33" borderId="2" xfId="0" applyNumberFormat="1" applyFill="1" applyBorder="1"/>
    <xf numFmtId="167" fontId="0" fillId="0" borderId="1" xfId="0" applyNumberFormat="1" applyFill="1" applyBorder="1" applyAlignment="1">
      <alignment horizontal="left"/>
    </xf>
    <xf numFmtId="14" fontId="0" fillId="10" borderId="0" xfId="0" applyNumberFormat="1" applyFill="1"/>
    <xf numFmtId="14" fontId="46" fillId="29" borderId="0" xfId="0" applyNumberFormat="1" applyFont="1" applyFill="1" applyAlignment="1">
      <alignment horizontal="center" vertical="center"/>
    </xf>
    <xf numFmtId="14" fontId="46" fillId="5" borderId="0" xfId="0" applyNumberFormat="1" applyFont="1" applyFill="1" applyAlignment="1">
      <alignment horizontal="center" vertical="center"/>
    </xf>
    <xf numFmtId="14" fontId="26" fillId="10" borderId="0" xfId="0" applyNumberFormat="1" applyFont="1" applyFill="1"/>
    <xf numFmtId="14" fontId="0" fillId="0" borderId="1" xfId="0" applyNumberFormat="1" applyFill="1" applyBorder="1" applyAlignment="1">
      <alignment horizontal="left"/>
    </xf>
    <xf numFmtId="1" fontId="0" fillId="0" borderId="1" xfId="0" applyNumberFormat="1" applyFill="1" applyBorder="1" applyAlignment="1">
      <alignment horizontal="left"/>
    </xf>
    <xf numFmtId="0" fontId="54" fillId="34" borderId="1" xfId="0" applyFont="1" applyFill="1" applyBorder="1" applyAlignment="1">
      <alignment horizontal="center" vertical="center" wrapText="1"/>
    </xf>
    <xf numFmtId="0" fontId="54" fillId="34" borderId="32" xfId="0" applyFont="1" applyFill="1" applyBorder="1" applyAlignment="1">
      <alignment horizontal="center" vertical="center" wrapText="1"/>
    </xf>
    <xf numFmtId="0" fontId="54" fillId="34" borderId="3" xfId="0" applyFont="1" applyFill="1" applyBorder="1" applyAlignment="1">
      <alignment horizontal="center" vertical="center" wrapText="1"/>
    </xf>
    <xf numFmtId="0" fontId="54" fillId="34" borderId="42" xfId="0" applyFont="1" applyFill="1" applyBorder="1" applyAlignment="1">
      <alignment horizontal="center" vertical="center" wrapText="1"/>
    </xf>
    <xf numFmtId="0" fontId="54" fillId="34" borderId="43" xfId="0" applyFont="1" applyFill="1" applyBorder="1" applyAlignment="1">
      <alignment horizontal="center" vertical="center" wrapText="1"/>
    </xf>
    <xf numFmtId="0" fontId="54" fillId="34" borderId="44" xfId="0" applyFont="1" applyFill="1" applyBorder="1" applyAlignment="1">
      <alignment horizontal="center" vertical="center" wrapText="1"/>
    </xf>
    <xf numFmtId="0" fontId="54" fillId="34" borderId="45" xfId="0" applyFont="1" applyFill="1" applyBorder="1" applyAlignment="1">
      <alignment horizontal="center" vertical="center" wrapText="1"/>
    </xf>
    <xf numFmtId="0" fontId="54" fillId="34" borderId="47" xfId="0" applyFont="1" applyFill="1" applyBorder="1" applyAlignment="1">
      <alignment horizontal="center" vertical="center" wrapText="1"/>
    </xf>
    <xf numFmtId="0" fontId="54" fillId="34" borderId="48" xfId="0" applyFont="1" applyFill="1" applyBorder="1" applyAlignment="1">
      <alignment horizontal="center" vertical="center" wrapText="1"/>
    </xf>
    <xf numFmtId="0" fontId="54" fillId="34" borderId="49" xfId="0" applyFont="1" applyFill="1" applyBorder="1" applyAlignment="1">
      <alignment horizontal="center" vertical="center" wrapText="1"/>
    </xf>
    <xf numFmtId="0" fontId="54" fillId="34" borderId="50" xfId="0" applyFont="1" applyFill="1" applyBorder="1" applyAlignment="1">
      <alignment horizontal="center" vertical="center" wrapText="1"/>
    </xf>
    <xf numFmtId="0" fontId="0" fillId="0" borderId="1" xfId="0" applyBorder="1"/>
    <xf numFmtId="0" fontId="53" fillId="0" borderId="0" xfId="0" applyFont="1"/>
    <xf numFmtId="0" fontId="54" fillId="34" borderId="53" xfId="0" applyFont="1" applyFill="1" applyBorder="1" applyAlignment="1">
      <alignment horizontal="center" vertical="center" wrapText="1"/>
    </xf>
    <xf numFmtId="0" fontId="0" fillId="24" borderId="1" xfId="0" applyFill="1" applyBorder="1" applyAlignment="1">
      <alignment horizontal="left" vertical="center"/>
    </xf>
    <xf numFmtId="0" fontId="0" fillId="36" borderId="1" xfId="0" applyFill="1" applyBorder="1" applyAlignment="1">
      <alignment horizontal="left" vertical="center" wrapText="1"/>
    </xf>
    <xf numFmtId="0" fontId="0" fillId="35" borderId="1" xfId="0" applyFill="1" applyBorder="1" applyAlignment="1">
      <alignment horizontal="left" vertical="center" wrapText="1"/>
    </xf>
    <xf numFmtId="0" fontId="5" fillId="37" borderId="1" xfId="0" applyFont="1" applyFill="1" applyBorder="1" applyAlignment="1">
      <alignment horizontal="center"/>
    </xf>
    <xf numFmtId="0" fontId="5" fillId="38" borderId="1" xfId="0" applyFont="1" applyFill="1" applyBorder="1" applyAlignment="1">
      <alignment horizontal="center"/>
    </xf>
    <xf numFmtId="0" fontId="56" fillId="0" borderId="3" xfId="0" applyFont="1" applyBorder="1" applyAlignment="1">
      <alignment vertical="center"/>
    </xf>
    <xf numFmtId="0" fontId="57" fillId="0" borderId="1" xfId="0" applyFont="1" applyBorder="1" applyAlignment="1">
      <alignment vertical="center"/>
    </xf>
    <xf numFmtId="0" fontId="58" fillId="0" borderId="1" xfId="0" applyFont="1" applyBorder="1" applyAlignment="1">
      <alignment vertical="center"/>
    </xf>
    <xf numFmtId="0" fontId="53" fillId="0" borderId="1" xfId="0" applyFont="1" applyBorder="1" applyAlignment="1">
      <alignment vertical="center"/>
    </xf>
    <xf numFmtId="0" fontId="39" fillId="0" borderId="1" xfId="0" applyFont="1" applyBorder="1" applyAlignment="1">
      <alignment vertical="center"/>
    </xf>
    <xf numFmtId="1" fontId="54" fillId="34" borderId="52" xfId="0" applyNumberFormat="1" applyFont="1" applyFill="1" applyBorder="1" applyAlignment="1">
      <alignment horizontal="center" vertical="center" wrapText="1"/>
    </xf>
    <xf numFmtId="1" fontId="54" fillId="34" borderId="46" xfId="0" applyNumberFormat="1" applyFont="1" applyFill="1" applyBorder="1" applyAlignment="1">
      <alignment horizontal="center" vertical="center" wrapText="1"/>
    </xf>
    <xf numFmtId="1" fontId="54" fillId="34" borderId="49" xfId="0" applyNumberFormat="1" applyFont="1" applyFill="1" applyBorder="1" applyAlignment="1">
      <alignment horizontal="center" vertical="center" wrapText="1"/>
    </xf>
    <xf numFmtId="1" fontId="54" fillId="34" borderId="44" xfId="0" applyNumberFormat="1" applyFont="1" applyFill="1" applyBorder="1" applyAlignment="1">
      <alignment horizontal="center" vertical="center" wrapText="1"/>
    </xf>
    <xf numFmtId="0" fontId="61" fillId="34" borderId="48" xfId="0" applyFont="1" applyFill="1" applyBorder="1" applyAlignment="1">
      <alignment horizontal="center" vertical="center" wrapText="1"/>
    </xf>
    <xf numFmtId="0" fontId="62" fillId="0" borderId="0" xfId="0" applyFont="1"/>
    <xf numFmtId="0" fontId="61" fillId="34" borderId="51" xfId="0" applyFont="1" applyFill="1" applyBorder="1" applyAlignment="1">
      <alignment horizontal="center" vertical="center" wrapText="1"/>
    </xf>
    <xf numFmtId="0" fontId="0" fillId="0" borderId="1" xfId="0" applyBorder="1" applyAlignment="1">
      <alignment horizontal="center"/>
    </xf>
    <xf numFmtId="0" fontId="61" fillId="34" borderId="1" xfId="0" applyFont="1" applyFill="1" applyBorder="1" applyAlignment="1">
      <alignment horizontal="center" vertical="center" wrapText="1"/>
    </xf>
    <xf numFmtId="0" fontId="61" fillId="34" borderId="43" xfId="0" applyFont="1" applyFill="1" applyBorder="1" applyAlignment="1">
      <alignment horizontal="center" vertical="center" wrapText="1"/>
    </xf>
    <xf numFmtId="0" fontId="61" fillId="34" borderId="32" xfId="0" applyFont="1" applyFill="1" applyBorder="1" applyAlignment="1">
      <alignment horizontal="center" vertical="center" wrapText="1"/>
    </xf>
    <xf numFmtId="1" fontId="61" fillId="34" borderId="46" xfId="0" applyNumberFormat="1" applyFont="1" applyFill="1" applyBorder="1" applyAlignment="1">
      <alignment horizontal="center" vertical="center" wrapText="1"/>
    </xf>
    <xf numFmtId="0" fontId="61" fillId="34" borderId="50" xfId="0" applyFont="1" applyFill="1" applyBorder="1" applyAlignment="1">
      <alignment horizontal="center" vertical="center" wrapText="1"/>
    </xf>
    <xf numFmtId="0" fontId="61" fillId="34" borderId="49" xfId="0" applyFont="1" applyFill="1" applyBorder="1" applyAlignment="1">
      <alignment horizontal="center" vertical="center" wrapText="1"/>
    </xf>
    <xf numFmtId="0" fontId="61" fillId="34" borderId="3" xfId="0" applyFont="1" applyFill="1" applyBorder="1" applyAlignment="1">
      <alignment horizontal="center" vertical="center" wrapText="1"/>
    </xf>
    <xf numFmtId="0" fontId="61" fillId="34" borderId="47" xfId="0" applyFont="1" applyFill="1" applyBorder="1" applyAlignment="1">
      <alignment horizontal="center" vertical="center" wrapText="1"/>
    </xf>
    <xf numFmtId="0" fontId="61" fillId="34" borderId="42" xfId="0" applyFont="1" applyFill="1" applyBorder="1" applyAlignment="1">
      <alignment horizontal="center" vertical="center" wrapText="1"/>
    </xf>
    <xf numFmtId="0" fontId="61" fillId="34" borderId="45" xfId="0" applyFont="1" applyFill="1" applyBorder="1" applyAlignment="1">
      <alignment horizontal="center" vertical="center" wrapText="1"/>
    </xf>
    <xf numFmtId="0" fontId="0" fillId="41" borderId="4" xfId="0" applyFont="1" applyFill="1" applyBorder="1" applyAlignment="1">
      <alignment horizontal="center"/>
    </xf>
    <xf numFmtId="0" fontId="0" fillId="33" borderId="4" xfId="0" applyFont="1" applyFill="1" applyBorder="1" applyAlignment="1">
      <alignment horizontal="center"/>
    </xf>
    <xf numFmtId="0" fontId="0" fillId="0" borderId="32" xfId="0" applyBorder="1"/>
    <xf numFmtId="0" fontId="0" fillId="0" borderId="2" xfId="0" applyBorder="1" applyAlignment="1">
      <alignment horizontal="center" vertical="center"/>
    </xf>
    <xf numFmtId="0" fontId="0" fillId="0" borderId="3" xfId="0" applyBorder="1" applyAlignment="1">
      <alignment horizontal="center" vertical="center"/>
    </xf>
    <xf numFmtId="0" fontId="5" fillId="0" borderId="0" xfId="0" applyFont="1" applyAlignment="1">
      <alignment horizontal="center" vertical="center"/>
    </xf>
    <xf numFmtId="0" fontId="5" fillId="42" borderId="1" xfId="0" applyFont="1" applyFill="1" applyBorder="1" applyAlignment="1">
      <alignment horizontal="left" vertical="center" wrapText="1"/>
    </xf>
    <xf numFmtId="0" fontId="5" fillId="39" borderId="0" xfId="0" applyFont="1" applyFill="1"/>
    <xf numFmtId="0" fontId="65" fillId="0" borderId="1" xfId="0" applyFont="1" applyBorder="1"/>
    <xf numFmtId="0" fontId="5" fillId="42" borderId="1" xfId="0" applyFont="1" applyFill="1" applyBorder="1"/>
    <xf numFmtId="0" fontId="67" fillId="0" borderId="4" xfId="0" applyFont="1" applyBorder="1" applyAlignment="1">
      <alignment horizontal="left" vertical="top" wrapText="1"/>
    </xf>
    <xf numFmtId="0" fontId="67" fillId="0" borderId="2" xfId="0" applyFont="1" applyBorder="1" applyAlignment="1">
      <alignment horizontal="left" vertical="top" wrapText="1"/>
    </xf>
    <xf numFmtId="0" fontId="67" fillId="0" borderId="3" xfId="0" applyFont="1" applyBorder="1" applyAlignment="1">
      <alignment horizontal="left" vertical="top" wrapText="1"/>
    </xf>
    <xf numFmtId="0" fontId="60" fillId="37" borderId="4" xfId="0" applyFont="1" applyFill="1" applyBorder="1" applyAlignment="1">
      <alignment horizontal="left" vertical="top" wrapText="1"/>
    </xf>
    <xf numFmtId="0" fontId="60" fillId="37" borderId="2" xfId="0" applyFont="1" applyFill="1" applyBorder="1" applyAlignment="1">
      <alignment horizontal="left" vertical="top" wrapText="1"/>
    </xf>
    <xf numFmtId="0" fontId="66" fillId="0" borderId="26" xfId="0" applyFont="1" applyBorder="1" applyAlignment="1">
      <alignment horizontal="left" vertical="top" wrapText="1"/>
    </xf>
    <xf numFmtId="0" fontId="55" fillId="37" borderId="2" xfId="0" applyFont="1" applyFill="1" applyBorder="1" applyAlignment="1">
      <alignment horizontal="left" vertical="top" wrapText="1"/>
    </xf>
    <xf numFmtId="0" fontId="55" fillId="37" borderId="4" xfId="0" applyFont="1" applyFill="1" applyBorder="1" applyAlignment="1">
      <alignment horizontal="left" vertical="distributed" wrapText="1"/>
    </xf>
    <xf numFmtId="0" fontId="55" fillId="37" borderId="2" xfId="0" applyFont="1" applyFill="1" applyBorder="1" applyAlignment="1">
      <alignment horizontal="left" vertical="distributed" wrapText="1"/>
    </xf>
    <xf numFmtId="0" fontId="66" fillId="0" borderId="34" xfId="0" applyFont="1" applyBorder="1" applyAlignment="1">
      <alignment horizontal="left" vertical="top" wrapText="1"/>
    </xf>
    <xf numFmtId="0" fontId="66" fillId="0" borderId="35" xfId="0" applyFont="1" applyBorder="1" applyAlignment="1">
      <alignment horizontal="left" vertical="top" wrapText="1"/>
    </xf>
    <xf numFmtId="0" fontId="55" fillId="37" borderId="3" xfId="0" applyFont="1" applyFill="1" applyBorder="1" applyAlignment="1">
      <alignment horizontal="left" vertical="distributed" wrapText="1"/>
    </xf>
    <xf numFmtId="0" fontId="68" fillId="0" borderId="4" xfId="0" applyFont="1" applyBorder="1" applyAlignment="1">
      <alignment horizontal="left" vertical="top" wrapText="1"/>
    </xf>
    <xf numFmtId="0" fontId="69" fillId="0" borderId="3" xfId="0" applyFont="1" applyBorder="1" applyAlignment="1">
      <alignment horizontal="left" vertical="top" wrapText="1"/>
    </xf>
    <xf numFmtId="0" fontId="68" fillId="0" borderId="2" xfId="0" applyFont="1" applyBorder="1" applyAlignment="1">
      <alignment horizontal="left" vertical="top" wrapText="1"/>
    </xf>
    <xf numFmtId="167" fontId="0" fillId="3" borderId="39" xfId="0" applyNumberFormat="1" applyFill="1" applyBorder="1"/>
    <xf numFmtId="167" fontId="0" fillId="3" borderId="40" xfId="0" applyNumberFormat="1" applyFill="1" applyBorder="1"/>
    <xf numFmtId="167" fontId="0" fillId="30" borderId="41" xfId="0" applyNumberFormat="1" applyFill="1" applyBorder="1"/>
    <xf numFmtId="0" fontId="0" fillId="0" borderId="0" xfId="0" applyBorder="1" applyAlignment="1">
      <alignment horizontal="center"/>
    </xf>
    <xf numFmtId="0" fontId="0" fillId="0" borderId="3" xfId="0" applyBorder="1" applyAlignment="1">
      <alignment horizontal="center" vertical="center" wrapText="1"/>
    </xf>
    <xf numFmtId="16" fontId="0" fillId="0" borderId="0" xfId="0" applyNumberFormat="1" applyFont="1" applyAlignment="1">
      <alignment horizontal="left" vertical="top" wrapText="1"/>
    </xf>
    <xf numFmtId="0" fontId="0" fillId="0" borderId="4" xfId="0" applyBorder="1" applyAlignment="1">
      <alignment horizontal="center" vertical="center" wrapText="1"/>
    </xf>
    <xf numFmtId="1" fontId="63" fillId="40" borderId="61" xfId="0" applyNumberFormat="1" applyFont="1" applyFill="1" applyBorder="1" applyAlignment="1" applyProtection="1">
      <alignment horizontal="center" vertical="center" wrapText="1"/>
      <protection locked="0"/>
    </xf>
    <xf numFmtId="1" fontId="63" fillId="40" borderId="59" xfId="0" applyNumberFormat="1" applyFont="1" applyFill="1" applyBorder="1" applyAlignment="1" applyProtection="1">
      <alignment horizontal="center" vertical="center" wrapText="1"/>
      <protection locked="0"/>
    </xf>
    <xf numFmtId="1" fontId="63" fillId="40" borderId="60" xfId="0" applyNumberFormat="1" applyFont="1" applyFill="1" applyBorder="1" applyAlignment="1" applyProtection="1">
      <alignment horizontal="center" vertical="center" wrapText="1"/>
      <protection locked="0"/>
    </xf>
    <xf numFmtId="1" fontId="63" fillId="40" borderId="65" xfId="0" applyNumberFormat="1" applyFont="1" applyFill="1" applyBorder="1" applyAlignment="1" applyProtection="1">
      <alignment horizontal="center" vertical="center" wrapText="1"/>
      <protection locked="0"/>
    </xf>
    <xf numFmtId="1" fontId="63" fillId="40" borderId="62" xfId="0" applyNumberFormat="1" applyFont="1" applyFill="1" applyBorder="1" applyAlignment="1" applyProtection="1">
      <alignment horizontal="center" vertical="center" wrapText="1"/>
      <protection locked="0"/>
    </xf>
    <xf numFmtId="0" fontId="0" fillId="0" borderId="27" xfId="0" applyBorder="1"/>
    <xf numFmtId="0" fontId="0" fillId="0" borderId="34" xfId="0" applyBorder="1"/>
    <xf numFmtId="0" fontId="0" fillId="0" borderId="17" xfId="0" applyBorder="1"/>
    <xf numFmtId="0" fontId="0" fillId="0" borderId="26" xfId="0" applyBorder="1"/>
    <xf numFmtId="0" fontId="0" fillId="0" borderId="18" xfId="0" applyBorder="1"/>
    <xf numFmtId="0" fontId="0" fillId="0" borderId="35" xfId="0" applyBorder="1"/>
    <xf numFmtId="0" fontId="71" fillId="0" borderId="0" xfId="0" applyFont="1"/>
    <xf numFmtId="0" fontId="0" fillId="0" borderId="0" xfId="0" applyFill="1" applyBorder="1"/>
    <xf numFmtId="0" fontId="0" fillId="0" borderId="4" xfId="0" applyFill="1" applyBorder="1"/>
    <xf numFmtId="0" fontId="0" fillId="0" borderId="2" xfId="0" applyFill="1" applyBorder="1"/>
    <xf numFmtId="0" fontId="0" fillId="0" borderId="3" xfId="0" applyFill="1" applyBorder="1"/>
    <xf numFmtId="0" fontId="0" fillId="0" borderId="33" xfId="0" applyBorder="1"/>
    <xf numFmtId="0" fontId="0" fillId="0" borderId="0" xfId="0" applyBorder="1"/>
    <xf numFmtId="0" fontId="5" fillId="0" borderId="2" xfId="0" applyFont="1" applyBorder="1"/>
    <xf numFmtId="0" fontId="5" fillId="0" borderId="3" xfId="0" applyFont="1" applyBorder="1"/>
    <xf numFmtId="0" fontId="0" fillId="0" borderId="2" xfId="0" applyBorder="1" applyAlignment="1">
      <alignment horizontal="center" vertical="center" wrapText="1"/>
    </xf>
    <xf numFmtId="1" fontId="64" fillId="30" borderId="0" xfId="0" applyNumberFormat="1" applyFont="1" applyFill="1" applyBorder="1" applyAlignment="1" applyProtection="1">
      <alignment horizontal="center" vertical="center" wrapText="1"/>
      <protection locked="0"/>
    </xf>
    <xf numFmtId="0" fontId="0" fillId="0" borderId="55" xfId="0" applyBorder="1" applyAlignment="1">
      <alignment horizontal="center" vertical="center"/>
    </xf>
    <xf numFmtId="0" fontId="0" fillId="0" borderId="56" xfId="0" applyBorder="1" applyAlignment="1">
      <alignment horizontal="center" vertical="center"/>
    </xf>
    <xf numFmtId="0" fontId="40" fillId="44" borderId="1" xfId="2" applyFont="1" applyFill="1" applyBorder="1" applyAlignment="1">
      <alignment horizontal="left"/>
    </xf>
    <xf numFmtId="0" fontId="8" fillId="0" borderId="0" xfId="0" applyFont="1" applyFill="1" applyBorder="1"/>
    <xf numFmtId="0" fontId="0" fillId="0" borderId="27" xfId="0" applyBorder="1" applyAlignment="1">
      <alignment horizontal="center" vertical="center"/>
    </xf>
    <xf numFmtId="1" fontId="27" fillId="0" borderId="0" xfId="0" applyNumberFormat="1" applyFont="1" applyAlignment="1">
      <alignment horizontal="left"/>
    </xf>
    <xf numFmtId="0" fontId="0" fillId="24" borderId="25" xfId="0" applyFont="1" applyFill="1" applyBorder="1" applyAlignment="1">
      <alignment horizontal="left" vertical="center" wrapText="1"/>
    </xf>
    <xf numFmtId="0" fontId="0" fillId="36" borderId="25" xfId="0" applyFont="1" applyFill="1" applyBorder="1" applyAlignment="1">
      <alignment horizontal="left" vertical="center" wrapText="1"/>
    </xf>
    <xf numFmtId="0" fontId="0" fillId="35" borderId="25" xfId="0" applyFont="1" applyFill="1" applyBorder="1" applyAlignment="1">
      <alignment horizontal="left" vertical="center" wrapText="1"/>
    </xf>
    <xf numFmtId="0" fontId="0" fillId="0" borderId="34" xfId="0" applyFont="1" applyBorder="1" applyAlignment="1">
      <alignment vertical="center" wrapText="1"/>
    </xf>
    <xf numFmtId="0" fontId="0" fillId="0" borderId="17" xfId="0" applyFont="1" applyBorder="1" applyAlignment="1">
      <alignment vertical="center"/>
    </xf>
    <xf numFmtId="0" fontId="0" fillId="0" borderId="3" xfId="0" applyFont="1" applyBorder="1" applyAlignment="1">
      <alignment vertical="center"/>
    </xf>
    <xf numFmtId="0" fontId="0" fillId="0" borderId="27" xfId="0" applyFont="1" applyBorder="1" applyAlignment="1">
      <alignment vertical="center" wrapText="1"/>
    </xf>
    <xf numFmtId="0" fontId="0" fillId="0" borderId="17" xfId="0" applyFont="1" applyBorder="1" applyAlignment="1">
      <alignment vertical="center" wrapText="1"/>
    </xf>
    <xf numFmtId="0" fontId="0" fillId="0" borderId="18" xfId="0" applyFont="1" applyBorder="1" applyAlignment="1">
      <alignment vertical="center" wrapText="1"/>
    </xf>
    <xf numFmtId="14" fontId="0" fillId="0" borderId="17" xfId="0" applyNumberFormat="1" applyFont="1" applyBorder="1" applyAlignment="1">
      <alignment horizontal="center" vertical="center"/>
    </xf>
    <xf numFmtId="14" fontId="0" fillId="0" borderId="18" xfId="0" applyNumberFormat="1" applyFont="1" applyBorder="1" applyAlignment="1">
      <alignment horizontal="center" vertical="center"/>
    </xf>
    <xf numFmtId="20" fontId="0" fillId="0" borderId="0" xfId="0" applyNumberFormat="1"/>
    <xf numFmtId="1" fontId="0" fillId="0" borderId="27" xfId="0" applyNumberFormat="1" applyBorder="1"/>
    <xf numFmtId="0" fontId="72" fillId="0" borderId="17" xfId="0" applyFont="1" applyBorder="1"/>
    <xf numFmtId="0" fontId="72" fillId="0" borderId="0" xfId="0" applyFont="1" applyBorder="1"/>
    <xf numFmtId="0" fontId="72" fillId="0" borderId="18" xfId="0" applyFont="1" applyBorder="1"/>
    <xf numFmtId="0" fontId="72" fillId="0" borderId="5" xfId="0" applyFont="1" applyBorder="1"/>
    <xf numFmtId="0" fontId="0" fillId="0" borderId="25" xfId="0" applyBorder="1"/>
    <xf numFmtId="0" fontId="0" fillId="0" borderId="36" xfId="0" applyBorder="1"/>
    <xf numFmtId="0" fontId="72" fillId="0" borderId="26" xfId="0" applyFont="1" applyBorder="1"/>
    <xf numFmtId="0" fontId="72" fillId="0" borderId="35" xfId="0" applyFont="1" applyBorder="1"/>
    <xf numFmtId="1" fontId="72" fillId="0" borderId="27" xfId="0" applyNumberFormat="1" applyFont="1" applyBorder="1"/>
    <xf numFmtId="1" fontId="0" fillId="0" borderId="33" xfId="0" applyNumberFormat="1" applyBorder="1"/>
    <xf numFmtId="1" fontId="72" fillId="0" borderId="33" xfId="0" applyNumberFormat="1" applyFont="1" applyBorder="1"/>
    <xf numFmtId="1" fontId="0" fillId="0" borderId="34" xfId="0" applyNumberFormat="1" applyBorder="1"/>
    <xf numFmtId="1" fontId="72" fillId="0" borderId="34" xfId="0" applyNumberFormat="1" applyFont="1" applyBorder="1"/>
    <xf numFmtId="1" fontId="0" fillId="0" borderId="0" xfId="0" applyNumberFormat="1" applyBorder="1"/>
    <xf numFmtId="1" fontId="0" fillId="0" borderId="18" xfId="0" applyNumberFormat="1" applyBorder="1"/>
    <xf numFmtId="1" fontId="0" fillId="0" borderId="26" xfId="0" applyNumberFormat="1" applyBorder="1"/>
    <xf numFmtId="1" fontId="0" fillId="0" borderId="5" xfId="0" applyNumberFormat="1" applyBorder="1"/>
    <xf numFmtId="1" fontId="0" fillId="0" borderId="35" xfId="0" applyNumberFormat="1" applyBorder="1"/>
    <xf numFmtId="1" fontId="0" fillId="0" borderId="25" xfId="0" applyNumberFormat="1" applyFill="1" applyBorder="1"/>
    <xf numFmtId="1" fontId="0" fillId="0" borderId="1" xfId="0" applyNumberFormat="1" applyFill="1" applyBorder="1"/>
    <xf numFmtId="0" fontId="73" fillId="0" borderId="0" xfId="0" applyFont="1"/>
    <xf numFmtId="0" fontId="55" fillId="0" borderId="1" xfId="0" applyNumberFormat="1" applyFont="1" applyBorder="1" applyAlignment="1">
      <alignment horizontal="center" vertical="center" wrapText="1"/>
    </xf>
    <xf numFmtId="0" fontId="74" fillId="0" borderId="0" xfId="0" applyFont="1"/>
    <xf numFmtId="0" fontId="40" fillId="44" borderId="1" xfId="2" applyFont="1" applyFill="1" applyBorder="1" applyAlignment="1">
      <alignment horizontal="center"/>
    </xf>
    <xf numFmtId="0" fontId="5" fillId="6" borderId="1" xfId="0" applyFont="1" applyFill="1" applyBorder="1" applyAlignment="1">
      <alignment horizontal="left"/>
    </xf>
    <xf numFmtId="0" fontId="0" fillId="0" borderId="17" xfId="0" applyBorder="1" applyAlignment="1">
      <alignment horizontal="left"/>
    </xf>
    <xf numFmtId="0" fontId="0" fillId="0" borderId="0" xfId="0" applyBorder="1" applyAlignment="1">
      <alignment horizontal="left"/>
    </xf>
    <xf numFmtId="0" fontId="0" fillId="0" borderId="26" xfId="0" applyBorder="1" applyAlignment="1">
      <alignment horizontal="left"/>
    </xf>
    <xf numFmtId="0" fontId="37" fillId="45" borderId="17" xfId="2" applyFont="1" applyFill="1" applyBorder="1" applyAlignment="1">
      <alignment horizontal="left"/>
    </xf>
    <xf numFmtId="0" fontId="37" fillId="45" borderId="0" xfId="2" applyFont="1" applyFill="1" applyBorder="1" applyAlignment="1">
      <alignment horizontal="left"/>
    </xf>
    <xf numFmtId="0" fontId="37" fillId="45" borderId="26" xfId="2" applyFont="1" applyFill="1" applyBorder="1" applyAlignment="1">
      <alignment horizontal="left"/>
    </xf>
    <xf numFmtId="0" fontId="47" fillId="9" borderId="18" xfId="0" applyFont="1" applyFill="1" applyBorder="1" applyAlignment="1">
      <alignment horizontal="left"/>
    </xf>
    <xf numFmtId="0" fontId="47" fillId="9" borderId="5" xfId="0" applyFont="1" applyFill="1" applyBorder="1" applyAlignment="1">
      <alignment horizontal="left"/>
    </xf>
    <xf numFmtId="0" fontId="47" fillId="9" borderId="35" xfId="0" applyFont="1" applyFill="1" applyBorder="1" applyAlignment="1">
      <alignment horizontal="left"/>
    </xf>
    <xf numFmtId="0" fontId="25" fillId="6" borderId="27" xfId="0" applyFont="1" applyFill="1" applyBorder="1" applyAlignment="1">
      <alignment horizontal="left"/>
    </xf>
    <xf numFmtId="0" fontId="25" fillId="6" borderId="33" xfId="0" applyFont="1" applyFill="1" applyBorder="1" applyAlignment="1">
      <alignment horizontal="left"/>
    </xf>
    <xf numFmtId="0" fontId="25" fillId="6" borderId="34" xfId="0" applyFont="1" applyFill="1" applyBorder="1" applyAlignment="1">
      <alignment horizontal="left"/>
    </xf>
    <xf numFmtId="0" fontId="76" fillId="0" borderId="69" xfId="0" applyFont="1" applyBorder="1" applyAlignment="1">
      <alignment horizontal="left" vertical="center" indent="1"/>
    </xf>
    <xf numFmtId="2" fontId="0" fillId="0" borderId="0" xfId="0" applyNumberFormat="1"/>
    <xf numFmtId="0" fontId="40" fillId="46" borderId="1" xfId="2" applyFont="1" applyFill="1" applyBorder="1" applyAlignment="1">
      <alignment horizontal="left"/>
    </xf>
    <xf numFmtId="0" fontId="4" fillId="47" borderId="1" xfId="2" applyFill="1" applyBorder="1" applyAlignment="1">
      <alignment horizontal="left"/>
    </xf>
    <xf numFmtId="0" fontId="5" fillId="48" borderId="1" xfId="0" applyFont="1" applyFill="1" applyBorder="1"/>
    <xf numFmtId="0" fontId="77" fillId="3" borderId="1" xfId="2" applyFont="1" applyFill="1" applyBorder="1" applyAlignment="1">
      <alignment horizontal="left"/>
    </xf>
    <xf numFmtId="164" fontId="78" fillId="0" borderId="2" xfId="1" applyNumberFormat="1" applyFont="1" applyBorder="1" applyAlignment="1">
      <alignment horizontal="center" vertical="center"/>
    </xf>
    <xf numFmtId="0" fontId="79" fillId="0" borderId="0" xfId="0" applyFont="1"/>
    <xf numFmtId="0" fontId="80" fillId="0" borderId="2" xfId="0" applyFont="1" applyBorder="1" applyAlignment="1">
      <alignment horizontal="center"/>
    </xf>
    <xf numFmtId="0" fontId="48" fillId="5" borderId="18" xfId="2" applyFont="1" applyFill="1" applyBorder="1" applyAlignment="1">
      <alignment horizontal="left"/>
    </xf>
    <xf numFmtId="0" fontId="48" fillId="5" borderId="5" xfId="2" applyFont="1" applyFill="1" applyBorder="1" applyAlignment="1">
      <alignment horizontal="left"/>
    </xf>
    <xf numFmtId="0" fontId="48" fillId="5" borderId="35" xfId="2" applyFont="1" applyFill="1" applyBorder="1" applyAlignment="1">
      <alignment horizontal="left"/>
    </xf>
    <xf numFmtId="0" fontId="0" fillId="0" borderId="76" xfId="0" applyBorder="1"/>
    <xf numFmtId="0" fontId="0" fillId="49" borderId="2" xfId="0" applyFill="1" applyBorder="1"/>
    <xf numFmtId="1" fontId="63" fillId="0" borderId="59" xfId="0" applyNumberFormat="1" applyFont="1" applyBorder="1" applyAlignment="1" applyProtection="1">
      <alignment horizontal="center" vertical="center" wrapText="1"/>
      <protection locked="0"/>
    </xf>
    <xf numFmtId="1" fontId="63" fillId="0" borderId="60" xfId="0" applyNumberFormat="1" applyFont="1" applyBorder="1" applyAlignment="1" applyProtection="1">
      <alignment horizontal="center" vertical="center" wrapText="1"/>
      <protection locked="0"/>
    </xf>
    <xf numFmtId="1" fontId="63" fillId="0" borderId="61" xfId="0" applyNumberFormat="1" applyFont="1" applyBorder="1" applyAlignment="1" applyProtection="1">
      <alignment horizontal="center" vertical="center" wrapText="1"/>
      <protection locked="0"/>
    </xf>
    <xf numFmtId="1" fontId="63" fillId="0" borderId="64" xfId="0" applyNumberFormat="1" applyFont="1" applyBorder="1" applyAlignment="1" applyProtection="1">
      <alignment horizontal="center" vertical="center" wrapText="1"/>
      <protection locked="0"/>
    </xf>
    <xf numFmtId="1" fontId="63" fillId="0" borderId="63" xfId="0" applyNumberFormat="1" applyFont="1" applyBorder="1" applyAlignment="1" applyProtection="1">
      <alignment horizontal="center" vertical="center" wrapText="1"/>
      <protection locked="0"/>
    </xf>
    <xf numFmtId="1" fontId="63" fillId="0" borderId="65" xfId="0" applyNumberFormat="1" applyFont="1" applyBorder="1" applyAlignment="1" applyProtection="1">
      <alignment horizontal="center" vertical="center" wrapText="1"/>
      <protection locked="0"/>
    </xf>
    <xf numFmtId="1" fontId="63" fillId="0" borderId="62" xfId="0" applyNumberFormat="1" applyFont="1" applyBorder="1" applyAlignment="1" applyProtection="1">
      <alignment horizontal="center" vertical="center" wrapText="1"/>
      <protection locked="0"/>
    </xf>
    <xf numFmtId="1" fontId="63" fillId="0" borderId="67" xfId="0" applyNumberFormat="1" applyFont="1" applyBorder="1" applyAlignment="1" applyProtection="1">
      <alignment horizontal="center" vertical="center" wrapText="1"/>
      <protection locked="0"/>
    </xf>
    <xf numFmtId="1" fontId="63" fillId="40" borderId="66" xfId="0" applyNumberFormat="1" applyFont="1" applyFill="1" applyBorder="1" applyAlignment="1" applyProtection="1">
      <alignment horizontal="center" vertical="center" wrapText="1"/>
      <protection locked="0"/>
    </xf>
    <xf numFmtId="0" fontId="81" fillId="50" borderId="2" xfId="8" applyBorder="1"/>
    <xf numFmtId="0" fontId="76" fillId="0" borderId="69" xfId="0" applyFont="1" applyBorder="1" applyAlignment="1">
      <alignment horizontal="left" vertical="center"/>
    </xf>
    <xf numFmtId="0" fontId="23" fillId="0" borderId="3" xfId="0" applyFont="1" applyBorder="1" applyAlignment="1"/>
    <xf numFmtId="0" fontId="23" fillId="0" borderId="1" xfId="0" applyFont="1" applyBorder="1" applyAlignment="1">
      <alignment horizontal="left"/>
    </xf>
    <xf numFmtId="14" fontId="16" fillId="0" borderId="4" xfId="0" applyNumberFormat="1" applyFont="1" applyBorder="1" applyAlignment="1">
      <alignment horizontal="center" vertical="center"/>
    </xf>
    <xf numFmtId="14" fontId="16" fillId="0" borderId="3" xfId="0" applyNumberFormat="1" applyFont="1" applyBorder="1" applyAlignment="1">
      <alignment horizontal="center" vertical="center"/>
    </xf>
    <xf numFmtId="0" fontId="15" fillId="0" borderId="1" xfId="0" applyFont="1" applyBorder="1" applyAlignment="1">
      <alignment horizontal="center" vertical="center"/>
    </xf>
    <xf numFmtId="0" fontId="5" fillId="0" borderId="1" xfId="0" applyFont="1" applyBorder="1" applyAlignment="1">
      <alignment horizontal="left" vertical="center"/>
    </xf>
    <xf numFmtId="0" fontId="10" fillId="0" borderId="1" xfId="0" applyFont="1" applyBorder="1" applyAlignment="1">
      <alignment horizontal="center" vertical="center"/>
    </xf>
    <xf numFmtId="0" fontId="11" fillId="0" borderId="1" xfId="0" applyFont="1" applyBorder="1" applyAlignment="1">
      <alignment horizontal="center" vertical="center"/>
    </xf>
    <xf numFmtId="0" fontId="13" fillId="0" borderId="1" xfId="0" applyFont="1" applyBorder="1" applyAlignment="1">
      <alignment horizontal="center" vertical="center"/>
    </xf>
    <xf numFmtId="0" fontId="8" fillId="0" borderId="1" xfId="0" applyFont="1" applyBorder="1" applyAlignment="1">
      <alignment horizontal="center" vertical="center"/>
    </xf>
    <xf numFmtId="0" fontId="14" fillId="0" borderId="1" xfId="0" applyFont="1" applyBorder="1" applyAlignment="1">
      <alignment horizontal="center" vertical="center"/>
    </xf>
    <xf numFmtId="0" fontId="9" fillId="0" borderId="1" xfId="0" applyFont="1" applyBorder="1" applyAlignment="1">
      <alignment horizontal="center" vertical="center"/>
    </xf>
    <xf numFmtId="0" fontId="5" fillId="0" borderId="1" xfId="0" applyFont="1" applyBorder="1" applyAlignment="1">
      <alignment horizontal="center" vertical="center"/>
    </xf>
    <xf numFmtId="0" fontId="0" fillId="0" borderId="4" xfId="0" applyFont="1" applyBorder="1" applyAlignment="1">
      <alignment horizontal="center" vertical="top" wrapText="1"/>
    </xf>
    <xf numFmtId="0" fontId="0" fillId="0" borderId="2" xfId="0" applyFont="1" applyBorder="1" applyAlignment="1">
      <alignment horizontal="center" vertical="top" wrapText="1"/>
    </xf>
    <xf numFmtId="0" fontId="0" fillId="0" borderId="3" xfId="0" applyFont="1" applyBorder="1" applyAlignment="1">
      <alignment horizontal="center" vertical="top" wrapText="1"/>
    </xf>
    <xf numFmtId="0" fontId="12" fillId="0" borderId="4" xfId="0" applyFont="1" applyBorder="1" applyAlignment="1">
      <alignment horizontal="center" vertical="center"/>
    </xf>
    <xf numFmtId="0" fontId="12" fillId="0" borderId="3" xfId="0" applyFont="1" applyBorder="1" applyAlignment="1">
      <alignment horizontal="center" vertical="center"/>
    </xf>
    <xf numFmtId="0" fontId="15" fillId="0" borderId="4" xfId="0" applyFont="1" applyBorder="1" applyAlignment="1">
      <alignment horizontal="center" vertical="center"/>
    </xf>
    <xf numFmtId="0" fontId="15" fillId="0" borderId="3" xfId="0" applyFont="1" applyBorder="1" applyAlignment="1">
      <alignment horizontal="center" vertical="center"/>
    </xf>
    <xf numFmtId="0" fontId="14" fillId="0" borderId="4" xfId="0" applyFont="1" applyBorder="1" applyAlignment="1">
      <alignment horizontal="center" vertical="center"/>
    </xf>
    <xf numFmtId="0" fontId="14" fillId="0" borderId="3" xfId="0" applyFont="1" applyBorder="1" applyAlignment="1">
      <alignment horizontal="center" vertical="center"/>
    </xf>
    <xf numFmtId="0" fontId="13" fillId="0" borderId="4" xfId="0" applyFont="1" applyBorder="1" applyAlignment="1">
      <alignment horizontal="center" vertical="center"/>
    </xf>
    <xf numFmtId="0" fontId="13" fillId="0" borderId="3" xfId="0" applyFont="1" applyBorder="1" applyAlignment="1">
      <alignment horizontal="center" vertical="center"/>
    </xf>
    <xf numFmtId="0" fontId="5" fillId="0" borderId="4" xfId="0" applyFont="1" applyBorder="1" applyAlignment="1">
      <alignment horizontal="center" vertical="center"/>
    </xf>
    <xf numFmtId="0" fontId="5" fillId="0" borderId="3" xfId="0" applyFont="1" applyBorder="1" applyAlignment="1">
      <alignment horizontal="center" vertical="center"/>
    </xf>
    <xf numFmtId="0" fontId="5" fillId="0" borderId="23" xfId="0" applyFont="1" applyBorder="1" applyAlignment="1">
      <alignment horizontal="center"/>
    </xf>
    <xf numFmtId="0" fontId="5" fillId="0" borderId="54" xfId="0" applyFont="1" applyBorder="1" applyAlignment="1">
      <alignment horizontal="center"/>
    </xf>
    <xf numFmtId="0" fontId="5" fillId="0" borderId="24" xfId="0" applyFont="1" applyBorder="1" applyAlignment="1">
      <alignment horizontal="center"/>
    </xf>
    <xf numFmtId="0" fontId="0" fillId="0" borderId="25" xfId="0" applyBorder="1" applyAlignment="1">
      <alignment horizontal="center"/>
    </xf>
    <xf numFmtId="0" fontId="0" fillId="0" borderId="36" xfId="0" applyBorder="1" applyAlignment="1">
      <alignment horizontal="center"/>
    </xf>
    <xf numFmtId="0" fontId="0" fillId="0" borderId="32" xfId="0" applyBorder="1" applyAlignment="1">
      <alignment horizontal="center"/>
    </xf>
    <xf numFmtId="0" fontId="0" fillId="0" borderId="4" xfId="0" applyBorder="1" applyAlignment="1">
      <alignment horizontal="center" vertical="center" textRotation="90"/>
    </xf>
    <xf numFmtId="0" fontId="0" fillId="0" borderId="2" xfId="0" applyBorder="1" applyAlignment="1">
      <alignment horizontal="center" vertical="center" textRotation="90"/>
    </xf>
    <xf numFmtId="0" fontId="0" fillId="0" borderId="3" xfId="0" applyBorder="1" applyAlignment="1">
      <alignment horizontal="center" vertical="center" textRotation="90"/>
    </xf>
    <xf numFmtId="0" fontId="0" fillId="0" borderId="25" xfId="0" applyBorder="1" applyAlignment="1">
      <alignment horizontal="center" vertical="center"/>
    </xf>
    <xf numFmtId="0" fontId="0" fillId="0" borderId="36" xfId="0" applyBorder="1" applyAlignment="1">
      <alignment horizontal="center" vertical="center"/>
    </xf>
    <xf numFmtId="0" fontId="0" fillId="0" borderId="32" xfId="0" applyBorder="1" applyAlignment="1">
      <alignment horizontal="center" vertical="center"/>
    </xf>
    <xf numFmtId="0" fontId="0" fillId="38" borderId="70" xfId="0" applyFill="1" applyBorder="1" applyAlignment="1">
      <alignment horizontal="center" vertical="center"/>
    </xf>
    <xf numFmtId="0" fontId="0" fillId="38" borderId="71" xfId="0" applyFill="1" applyBorder="1" applyAlignment="1">
      <alignment horizontal="center" vertical="center"/>
    </xf>
    <xf numFmtId="0" fontId="0" fillId="38" borderId="72" xfId="0" applyFill="1" applyBorder="1" applyAlignment="1">
      <alignment horizontal="center" vertical="center"/>
    </xf>
    <xf numFmtId="0" fontId="0" fillId="0" borderId="27" xfId="0"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5" fillId="0" borderId="57" xfId="0" applyFont="1" applyBorder="1" applyAlignment="1">
      <alignment horizontal="center" vertical="center"/>
    </xf>
    <xf numFmtId="0" fontId="5" fillId="0" borderId="36" xfId="0" applyFont="1" applyBorder="1" applyAlignment="1">
      <alignment horizontal="center" vertical="center"/>
    </xf>
    <xf numFmtId="0" fontId="5" fillId="0" borderId="58" xfId="0" applyFont="1" applyBorder="1" applyAlignment="1">
      <alignment horizontal="center" vertical="center"/>
    </xf>
    <xf numFmtId="0" fontId="52" fillId="0" borderId="57" xfId="0" applyFont="1" applyBorder="1" applyAlignment="1">
      <alignment horizontal="center" vertical="center"/>
    </xf>
    <xf numFmtId="0" fontId="52" fillId="0" borderId="36" xfId="0" applyFont="1" applyBorder="1" applyAlignment="1">
      <alignment horizontal="center" vertical="center"/>
    </xf>
    <xf numFmtId="0" fontId="52" fillId="0" borderId="58" xfId="0" applyFont="1" applyBorder="1" applyAlignment="1">
      <alignment horizontal="center" vertical="center"/>
    </xf>
    <xf numFmtId="0" fontId="53" fillId="0" borderId="73" xfId="0" applyFont="1" applyBorder="1" applyAlignment="1">
      <alignment horizontal="center" vertical="center"/>
    </xf>
    <xf numFmtId="0" fontId="53" fillId="0" borderId="74" xfId="0" applyFont="1" applyBorder="1" applyAlignment="1">
      <alignment horizontal="center" vertical="center"/>
    </xf>
    <xf numFmtId="0" fontId="53" fillId="0" borderId="75" xfId="0" applyFont="1" applyBorder="1" applyAlignment="1">
      <alignment horizontal="center" vertical="center"/>
    </xf>
    <xf numFmtId="0" fontId="59" fillId="42" borderId="23" xfId="0" applyFont="1" applyFill="1" applyBorder="1" applyAlignment="1">
      <alignment horizontal="center" vertical="center"/>
    </xf>
    <xf numFmtId="0" fontId="59" fillId="42" borderId="54" xfId="0" applyFont="1" applyFill="1" applyBorder="1" applyAlignment="1">
      <alignment horizontal="center" vertical="center"/>
    </xf>
    <xf numFmtId="0" fontId="59" fillId="42" borderId="24" xfId="0" applyFont="1" applyFill="1" applyBorder="1" applyAlignment="1">
      <alignment horizontal="center" vertical="center"/>
    </xf>
    <xf numFmtId="0" fontId="37" fillId="45" borderId="17" xfId="2" applyFont="1" applyFill="1" applyBorder="1" applyAlignment="1">
      <alignment horizontal="left"/>
    </xf>
    <xf numFmtId="0" fontId="37" fillId="45" borderId="0" xfId="2" applyFont="1" applyFill="1" applyBorder="1" applyAlignment="1">
      <alignment horizontal="left"/>
    </xf>
    <xf numFmtId="0" fontId="37" fillId="45" borderId="26" xfId="2" applyFont="1" applyFill="1" applyBorder="1" applyAlignment="1">
      <alignment horizontal="left"/>
    </xf>
    <xf numFmtId="0" fontId="48" fillId="5" borderId="17" xfId="2" applyFont="1" applyFill="1" applyBorder="1" applyAlignment="1">
      <alignment horizontal="left"/>
    </xf>
    <xf numFmtId="0" fontId="48" fillId="5" borderId="0" xfId="2" applyFont="1" applyFill="1" applyBorder="1" applyAlignment="1">
      <alignment horizontal="left"/>
    </xf>
    <xf numFmtId="0" fontId="48" fillId="5" borderId="26" xfId="2" applyFont="1" applyFill="1" applyBorder="1" applyAlignment="1">
      <alignment horizontal="left"/>
    </xf>
    <xf numFmtId="0" fontId="47" fillId="9" borderId="18" xfId="0" applyFont="1" applyFill="1" applyBorder="1" applyAlignment="1">
      <alignment horizontal="left"/>
    </xf>
    <xf numFmtId="0" fontId="47" fillId="9" borderId="5" xfId="0" applyFont="1" applyFill="1" applyBorder="1" applyAlignment="1">
      <alignment horizontal="left"/>
    </xf>
    <xf numFmtId="0" fontId="47" fillId="9" borderId="35" xfId="0" applyFont="1" applyFill="1" applyBorder="1" applyAlignment="1">
      <alignment horizontal="left"/>
    </xf>
    <xf numFmtId="16" fontId="0" fillId="0" borderId="25" xfId="0" applyNumberFormat="1" applyBorder="1" applyAlignment="1">
      <alignment horizontal="center"/>
    </xf>
    <xf numFmtId="0" fontId="0" fillId="0" borderId="36" xfId="0" applyNumberFormat="1" applyBorder="1" applyAlignment="1">
      <alignment horizontal="center"/>
    </xf>
    <xf numFmtId="0" fontId="0" fillId="0" borderId="32" xfId="0" applyNumberFormat="1" applyBorder="1" applyAlignment="1">
      <alignment horizontal="center"/>
    </xf>
    <xf numFmtId="164" fontId="42" fillId="0" borderId="27" xfId="0" applyNumberFormat="1" applyFont="1" applyBorder="1" applyAlignment="1">
      <alignment horizontal="center" vertical="center"/>
    </xf>
    <xf numFmtId="164" fontId="42" fillId="0" borderId="33" xfId="0" applyNumberFormat="1" applyFont="1" applyBorder="1" applyAlignment="1">
      <alignment horizontal="center" vertical="center"/>
    </xf>
    <xf numFmtId="164" fontId="42" fillId="0" borderId="34" xfId="0" applyNumberFormat="1" applyFont="1" applyBorder="1" applyAlignment="1">
      <alignment horizontal="center" vertical="center"/>
    </xf>
    <xf numFmtId="164" fontId="42" fillId="0" borderId="17" xfId="0" applyNumberFormat="1" applyFont="1" applyBorder="1" applyAlignment="1">
      <alignment horizontal="center" vertical="center"/>
    </xf>
    <xf numFmtId="164" fontId="42" fillId="0" borderId="0" xfId="0" applyNumberFormat="1" applyFont="1" applyBorder="1" applyAlignment="1">
      <alignment horizontal="center" vertical="center"/>
    </xf>
    <xf numFmtId="164" fontId="42" fillId="0" borderId="26" xfId="0" applyNumberFormat="1" applyFont="1" applyBorder="1" applyAlignment="1">
      <alignment horizontal="center" vertical="center"/>
    </xf>
    <xf numFmtId="164" fontId="42" fillId="0" borderId="18" xfId="0" applyNumberFormat="1" applyFont="1" applyBorder="1" applyAlignment="1">
      <alignment horizontal="center" vertical="center"/>
    </xf>
    <xf numFmtId="164" fontId="42" fillId="0" borderId="5" xfId="0" applyNumberFormat="1" applyFont="1" applyBorder="1" applyAlignment="1">
      <alignment horizontal="center" vertical="center"/>
    </xf>
    <xf numFmtId="164" fontId="42" fillId="0" borderId="35" xfId="0" applyNumberFormat="1" applyFont="1" applyBorder="1" applyAlignment="1">
      <alignment horizontal="center" vertical="center"/>
    </xf>
    <xf numFmtId="0" fontId="42" fillId="0" borderId="27" xfId="0" applyFont="1" applyBorder="1" applyAlignment="1">
      <alignment horizontal="center" vertical="center"/>
    </xf>
    <xf numFmtId="0" fontId="42" fillId="0" borderId="33" xfId="0" applyFont="1" applyBorder="1" applyAlignment="1">
      <alignment horizontal="center" vertical="center"/>
    </xf>
    <xf numFmtId="0" fontId="42" fillId="0" borderId="34" xfId="0" applyFont="1" applyBorder="1" applyAlignment="1">
      <alignment horizontal="center" vertical="center"/>
    </xf>
    <xf numFmtId="0" fontId="42" fillId="0" borderId="17" xfId="0" applyFont="1" applyBorder="1" applyAlignment="1">
      <alignment horizontal="center" vertical="center"/>
    </xf>
    <xf numFmtId="0" fontId="42" fillId="0" borderId="0" xfId="0" applyFont="1" applyBorder="1" applyAlignment="1">
      <alignment horizontal="center" vertical="center"/>
    </xf>
    <xf numFmtId="0" fontId="42" fillId="0" borderId="26" xfId="0" applyFont="1" applyBorder="1" applyAlignment="1">
      <alignment horizontal="center" vertical="center"/>
    </xf>
    <xf numFmtId="0" fontId="42" fillId="0" borderId="18" xfId="0" applyFont="1" applyBorder="1" applyAlignment="1">
      <alignment horizontal="center" vertical="center"/>
    </xf>
    <xf numFmtId="0" fontId="42" fillId="0" borderId="5" xfId="0" applyFont="1" applyBorder="1" applyAlignment="1">
      <alignment horizontal="center" vertical="center"/>
    </xf>
    <xf numFmtId="0" fontId="42" fillId="0" borderId="35" xfId="0" applyFont="1" applyBorder="1" applyAlignment="1">
      <alignment horizontal="center" vertical="center"/>
    </xf>
    <xf numFmtId="0" fontId="44" fillId="26" borderId="0" xfId="0" applyFont="1" applyFill="1" applyAlignment="1">
      <alignment horizontal="center" vertical="center"/>
    </xf>
    <xf numFmtId="164" fontId="43" fillId="31" borderId="0" xfId="0" applyNumberFormat="1" applyFont="1" applyFill="1" applyAlignment="1">
      <alignment horizontal="center" vertical="center"/>
    </xf>
    <xf numFmtId="0" fontId="41" fillId="31" borderId="19" xfId="0" applyFont="1" applyFill="1" applyBorder="1" applyAlignment="1">
      <alignment horizontal="center" vertical="center"/>
    </xf>
    <xf numFmtId="0" fontId="41" fillId="31" borderId="37" xfId="0" applyFont="1" applyFill="1" applyBorder="1" applyAlignment="1">
      <alignment horizontal="center" vertical="center"/>
    </xf>
    <xf numFmtId="0" fontId="41" fillId="31" borderId="20" xfId="0" applyFont="1" applyFill="1" applyBorder="1" applyAlignment="1">
      <alignment horizontal="center" vertical="center"/>
    </xf>
    <xf numFmtId="0" fontId="41" fillId="31" borderId="21" xfId="0" applyFont="1" applyFill="1" applyBorder="1" applyAlignment="1">
      <alignment horizontal="center" vertical="center"/>
    </xf>
    <xf numFmtId="0" fontId="41" fillId="31" borderId="38" xfId="0" applyFont="1" applyFill="1" applyBorder="1" applyAlignment="1">
      <alignment horizontal="center" vertical="center"/>
    </xf>
    <xf numFmtId="0" fontId="41" fillId="31" borderId="22" xfId="0" applyFont="1" applyFill="1" applyBorder="1" applyAlignment="1">
      <alignment horizontal="center" vertical="center"/>
    </xf>
    <xf numFmtId="0" fontId="41" fillId="27" borderId="19" xfId="0" applyFont="1" applyFill="1" applyBorder="1" applyAlignment="1">
      <alignment horizontal="center" vertical="center"/>
    </xf>
    <xf numFmtId="0" fontId="41" fillId="27" borderId="37" xfId="0" applyFont="1" applyFill="1" applyBorder="1" applyAlignment="1">
      <alignment horizontal="center" vertical="center"/>
    </xf>
    <xf numFmtId="0" fontId="41" fillId="27" borderId="20" xfId="0" applyFont="1" applyFill="1" applyBorder="1" applyAlignment="1">
      <alignment horizontal="center" vertical="center"/>
    </xf>
    <xf numFmtId="0" fontId="41" fillId="27" borderId="21" xfId="0" applyFont="1" applyFill="1" applyBorder="1" applyAlignment="1">
      <alignment horizontal="center" vertical="center"/>
    </xf>
    <xf numFmtId="0" fontId="41" fillId="27" borderId="38" xfId="0" applyFont="1" applyFill="1" applyBorder="1" applyAlignment="1">
      <alignment horizontal="center" vertical="center"/>
    </xf>
    <xf numFmtId="0" fontId="41" fillId="27" borderId="22" xfId="0" applyFont="1" applyFill="1" applyBorder="1" applyAlignment="1">
      <alignment horizontal="center" vertical="center"/>
    </xf>
    <xf numFmtId="164" fontId="43" fillId="28" borderId="0" xfId="0" applyNumberFormat="1" applyFont="1" applyFill="1" applyAlignment="1">
      <alignment horizontal="center" vertical="center"/>
    </xf>
    <xf numFmtId="0" fontId="41" fillId="25" borderId="19" xfId="0" applyFont="1" applyFill="1" applyBorder="1" applyAlignment="1">
      <alignment horizontal="center" vertical="center"/>
    </xf>
    <xf numFmtId="0" fontId="41" fillId="25" borderId="37" xfId="0" applyFont="1" applyFill="1" applyBorder="1" applyAlignment="1">
      <alignment horizontal="center" vertical="center"/>
    </xf>
    <xf numFmtId="0" fontId="41" fillId="25" borderId="20" xfId="0" applyFont="1" applyFill="1" applyBorder="1" applyAlignment="1">
      <alignment horizontal="center" vertical="center"/>
    </xf>
    <xf numFmtId="0" fontId="41" fillId="25" borderId="21" xfId="0" applyFont="1" applyFill="1" applyBorder="1" applyAlignment="1">
      <alignment horizontal="center" vertical="center"/>
    </xf>
    <xf numFmtId="0" fontId="41" fillId="25" borderId="38" xfId="0" applyFont="1" applyFill="1" applyBorder="1" applyAlignment="1">
      <alignment horizontal="center" vertical="center"/>
    </xf>
    <xf numFmtId="0" fontId="41" fillId="25" borderId="22" xfId="0" applyFont="1" applyFill="1" applyBorder="1" applyAlignment="1">
      <alignment horizontal="center" vertical="center"/>
    </xf>
    <xf numFmtId="0" fontId="41" fillId="5" borderId="19" xfId="0" applyFont="1" applyFill="1" applyBorder="1" applyAlignment="1">
      <alignment horizontal="center" vertical="center"/>
    </xf>
    <xf numFmtId="0" fontId="41" fillId="5" borderId="37" xfId="0" applyFont="1" applyFill="1" applyBorder="1" applyAlignment="1">
      <alignment horizontal="center" vertical="center"/>
    </xf>
    <xf numFmtId="0" fontId="41" fillId="5" borderId="20" xfId="0" applyFont="1" applyFill="1" applyBorder="1" applyAlignment="1">
      <alignment horizontal="center" vertical="center"/>
    </xf>
    <xf numFmtId="0" fontId="41" fillId="5" borderId="21" xfId="0" applyFont="1" applyFill="1" applyBorder="1" applyAlignment="1">
      <alignment horizontal="center" vertical="center"/>
    </xf>
    <xf numFmtId="0" fontId="41" fillId="5" borderId="38" xfId="0" applyFont="1" applyFill="1" applyBorder="1" applyAlignment="1">
      <alignment horizontal="center" vertical="center"/>
    </xf>
    <xf numFmtId="0" fontId="41" fillId="5" borderId="22" xfId="0" applyFont="1" applyFill="1" applyBorder="1" applyAlignment="1">
      <alignment horizontal="center" vertical="center"/>
    </xf>
    <xf numFmtId="167" fontId="52" fillId="32" borderId="17" xfId="0" applyNumberFormat="1" applyFont="1" applyFill="1" applyBorder="1" applyAlignment="1">
      <alignment horizontal="center"/>
    </xf>
    <xf numFmtId="167" fontId="52" fillId="32" borderId="0" xfId="0" applyNumberFormat="1" applyFont="1" applyFill="1" applyBorder="1" applyAlignment="1">
      <alignment horizontal="center"/>
    </xf>
    <xf numFmtId="14" fontId="21" fillId="0" borderId="15" xfId="0" applyNumberFormat="1" applyFont="1" applyBorder="1" applyAlignment="1">
      <alignment horizontal="center" vertical="center"/>
    </xf>
    <xf numFmtId="14" fontId="21" fillId="0" borderId="16" xfId="0" applyNumberFormat="1" applyFont="1" applyBorder="1" applyAlignment="1">
      <alignment horizontal="center" vertical="center"/>
    </xf>
    <xf numFmtId="14" fontId="21" fillId="0" borderId="7" xfId="0" applyNumberFormat="1" applyFont="1" applyBorder="1" applyAlignment="1">
      <alignment horizontal="center" vertical="center"/>
    </xf>
    <xf numFmtId="0" fontId="63" fillId="0" borderId="59" xfId="0" applyFont="1" applyBorder="1" applyAlignment="1" applyProtection="1">
      <alignment horizontal="center" vertical="center" wrapText="1"/>
      <protection locked="0"/>
    </xf>
    <xf numFmtId="0" fontId="63" fillId="0" borderId="61" xfId="0" applyFont="1" applyBorder="1" applyAlignment="1" applyProtection="1">
      <alignment horizontal="center" vertical="center" wrapText="1"/>
      <protection locked="0"/>
    </xf>
    <xf numFmtId="0" fontId="63" fillId="40" borderId="59" xfId="0" applyFont="1" applyFill="1" applyBorder="1" applyAlignment="1" applyProtection="1">
      <alignment horizontal="center" vertical="center" wrapText="1"/>
      <protection locked="0"/>
    </xf>
    <xf numFmtId="0" fontId="63" fillId="40" borderId="60" xfId="0" applyFont="1" applyFill="1" applyBorder="1" applyAlignment="1" applyProtection="1">
      <alignment horizontal="center" vertical="center" wrapText="1"/>
      <protection locked="0"/>
    </xf>
    <xf numFmtId="0" fontId="63" fillId="0" borderId="60" xfId="0" applyFont="1" applyBorder="1" applyAlignment="1" applyProtection="1">
      <alignment horizontal="center" vertical="center" wrapText="1"/>
      <protection locked="0"/>
    </xf>
    <xf numFmtId="0" fontId="63" fillId="0" borderId="62" xfId="0" applyFont="1" applyBorder="1" applyAlignment="1" applyProtection="1">
      <alignment horizontal="center" vertical="center" wrapText="1"/>
      <protection locked="0"/>
    </xf>
    <xf numFmtId="0" fontId="63" fillId="0" borderId="64" xfId="0" applyFont="1" applyBorder="1" applyAlignment="1" applyProtection="1">
      <alignment horizontal="center" vertical="center" wrapText="1"/>
      <protection locked="0"/>
    </xf>
    <xf numFmtId="0" fontId="63" fillId="0" borderId="65" xfId="0" applyFont="1" applyBorder="1" applyAlignment="1" applyProtection="1">
      <alignment horizontal="center" vertical="center" wrapText="1"/>
      <protection locked="0"/>
    </xf>
    <xf numFmtId="1" fontId="63" fillId="0" borderId="66" xfId="0" applyNumberFormat="1" applyFont="1" applyBorder="1" applyAlignment="1" applyProtection="1">
      <alignment horizontal="center" vertical="center" wrapText="1"/>
      <protection locked="0"/>
    </xf>
    <xf numFmtId="0" fontId="63" fillId="40" borderId="63" xfId="0" applyFont="1" applyFill="1" applyBorder="1" applyAlignment="1" applyProtection="1">
      <alignment horizontal="center" vertical="center" wrapText="1"/>
      <protection locked="0"/>
    </xf>
    <xf numFmtId="0" fontId="63" fillId="40" borderId="65" xfId="0" applyFont="1" applyFill="1" applyBorder="1" applyAlignment="1" applyProtection="1">
      <alignment horizontal="center" vertical="center" wrapText="1"/>
      <protection locked="0"/>
    </xf>
    <xf numFmtId="0" fontId="63" fillId="0" borderId="67" xfId="0" applyFont="1" applyBorder="1" applyAlignment="1" applyProtection="1">
      <alignment horizontal="center" vertical="center" wrapText="1"/>
      <protection locked="0"/>
    </xf>
    <xf numFmtId="1" fontId="63" fillId="0" borderId="68" xfId="0" applyNumberFormat="1" applyFont="1" applyBorder="1" applyAlignment="1" applyProtection="1">
      <alignment horizontal="center" vertical="center" wrapText="1"/>
      <protection locked="0"/>
    </xf>
    <xf numFmtId="1" fontId="63" fillId="40" borderId="67" xfId="0" applyNumberFormat="1" applyFont="1" applyFill="1" applyBorder="1" applyAlignment="1" applyProtection="1">
      <alignment horizontal="center" vertical="center" wrapText="1"/>
      <protection locked="0"/>
    </xf>
    <xf numFmtId="0" fontId="82" fillId="53" borderId="77" xfId="0" applyFont="1" applyFill="1" applyBorder="1" applyAlignment="1">
      <alignment horizontal="left" vertical="top" wrapText="1"/>
    </xf>
    <xf numFmtId="0" fontId="82" fillId="53" borderId="0" xfId="0" applyFont="1" applyFill="1" applyBorder="1" applyAlignment="1">
      <alignment horizontal="left" vertical="top" wrapText="1"/>
    </xf>
    <xf numFmtId="0" fontId="82" fillId="53" borderId="78" xfId="0" applyFont="1" applyFill="1" applyBorder="1" applyAlignment="1">
      <alignment horizontal="left" vertical="top" wrapText="1"/>
    </xf>
    <xf numFmtId="0" fontId="82" fillId="53" borderId="21" xfId="0" applyFont="1" applyFill="1" applyBorder="1" applyAlignment="1">
      <alignment horizontal="left" vertical="top" wrapText="1"/>
    </xf>
    <xf numFmtId="0" fontId="82" fillId="53" borderId="38" xfId="0" applyFont="1" applyFill="1" applyBorder="1" applyAlignment="1">
      <alignment horizontal="left" vertical="top" wrapText="1"/>
    </xf>
    <xf numFmtId="0" fontId="82" fillId="53" borderId="22" xfId="0" applyFont="1" applyFill="1" applyBorder="1" applyAlignment="1">
      <alignment horizontal="left" vertical="top" wrapText="1"/>
    </xf>
    <xf numFmtId="0" fontId="84" fillId="52" borderId="23" xfId="0" applyFont="1" applyFill="1" applyBorder="1" applyAlignment="1">
      <alignment horizontal="center" vertical="center"/>
    </xf>
    <xf numFmtId="0" fontId="84" fillId="52" borderId="54" xfId="0" applyFont="1" applyFill="1" applyBorder="1" applyAlignment="1">
      <alignment horizontal="center" vertical="center"/>
    </xf>
    <xf numFmtId="0" fontId="82" fillId="53" borderId="19" xfId="0" applyFont="1" applyFill="1" applyBorder="1" applyAlignment="1">
      <alignment horizontal="left" vertical="top" wrapText="1"/>
    </xf>
    <xf numFmtId="0" fontId="82" fillId="53" borderId="37" xfId="0" applyFont="1" applyFill="1" applyBorder="1" applyAlignment="1">
      <alignment horizontal="left" vertical="top" wrapText="1"/>
    </xf>
    <xf numFmtId="0" fontId="84" fillId="52" borderId="23" xfId="0" applyFont="1" applyFill="1" applyBorder="1" applyAlignment="1">
      <alignment horizontal="center"/>
    </xf>
    <xf numFmtId="0" fontId="84" fillId="52" borderId="54" xfId="0" applyFont="1" applyFill="1" applyBorder="1" applyAlignment="1">
      <alignment horizontal="center"/>
    </xf>
    <xf numFmtId="0" fontId="84" fillId="52" borderId="24" xfId="0" applyFont="1" applyFill="1" applyBorder="1" applyAlignment="1">
      <alignment horizontal="center"/>
    </xf>
    <xf numFmtId="14" fontId="56" fillId="51" borderId="1" xfId="0" applyNumberFormat="1" applyFont="1" applyFill="1" applyBorder="1" applyAlignment="1">
      <alignment horizontal="center"/>
    </xf>
    <xf numFmtId="0" fontId="11" fillId="54" borderId="1" xfId="0" applyFont="1" applyFill="1" applyBorder="1"/>
    <xf numFmtId="0" fontId="5" fillId="5" borderId="29" xfId="0" applyFont="1" applyFill="1" applyBorder="1"/>
    <xf numFmtId="0" fontId="5" fillId="0" borderId="35" xfId="0" applyFont="1" applyBorder="1"/>
    <xf numFmtId="0" fontId="0" fillId="55" borderId="23" xfId="0" applyFill="1" applyBorder="1"/>
    <xf numFmtId="0" fontId="7" fillId="55" borderId="54" xfId="0" applyFont="1" applyFill="1" applyBorder="1" applyAlignment="1">
      <alignment horizontal="center" vertical="center"/>
    </xf>
    <xf numFmtId="0" fontId="59" fillId="55" borderId="54" xfId="0" applyFont="1" applyFill="1" applyBorder="1" applyAlignment="1">
      <alignment horizontal="center" vertical="center"/>
    </xf>
    <xf numFmtId="0" fontId="0" fillId="55" borderId="24" xfId="0" applyFill="1" applyBorder="1"/>
    <xf numFmtId="0" fontId="0" fillId="56" borderId="19" xfId="0" applyFill="1" applyBorder="1"/>
    <xf numFmtId="0" fontId="0" fillId="56" borderId="54" xfId="0" applyFill="1" applyBorder="1"/>
    <xf numFmtId="0" fontId="0" fillId="56" borderId="37" xfId="0" applyFill="1" applyBorder="1"/>
    <xf numFmtId="0" fontId="0" fillId="56" borderId="20" xfId="0" applyFill="1" applyBorder="1"/>
    <xf numFmtId="0" fontId="0" fillId="56" borderId="79" xfId="0" applyFill="1" applyBorder="1"/>
    <xf numFmtId="0" fontId="0" fillId="56" borderId="80" xfId="0" applyFill="1" applyBorder="1"/>
    <xf numFmtId="0" fontId="0" fillId="56" borderId="77" xfId="0" applyFill="1" applyBorder="1"/>
    <xf numFmtId="0" fontId="0" fillId="56" borderId="78" xfId="0" applyFill="1" applyBorder="1"/>
    <xf numFmtId="0" fontId="0" fillId="56" borderId="21" xfId="0" applyFill="1" applyBorder="1"/>
    <xf numFmtId="0" fontId="0" fillId="56" borderId="38" xfId="0" applyFill="1" applyBorder="1"/>
    <xf numFmtId="0" fontId="0" fillId="56" borderId="22" xfId="0" applyFill="1" applyBorder="1"/>
    <xf numFmtId="0" fontId="11" fillId="54" borderId="81" xfId="0" applyFont="1" applyFill="1" applyBorder="1" applyAlignment="1">
      <alignment horizontal="center"/>
    </xf>
    <xf numFmtId="0" fontId="11" fillId="54" borderId="71" xfId="0" applyFont="1" applyFill="1" applyBorder="1" applyAlignment="1">
      <alignment horizontal="center"/>
    </xf>
    <xf numFmtId="0" fontId="11" fillId="54" borderId="50" xfId="0" applyFont="1" applyFill="1" applyBorder="1" applyAlignment="1">
      <alignment horizontal="center"/>
    </xf>
    <xf numFmtId="0" fontId="0" fillId="56" borderId="0" xfId="0" applyFill="1" applyBorder="1"/>
    <xf numFmtId="0" fontId="0" fillId="56" borderId="2" xfId="0" applyFill="1" applyBorder="1"/>
  </cellXfs>
  <cellStyles count="9">
    <cellStyle name="20% - Accent2" xfId="8" builtinId="34"/>
    <cellStyle name="colDup" xfId="6" xr:uid="{F64D319B-FEEE-4CD6-B2C9-1A10121F7D16}"/>
    <cellStyle name="Hyperlink" xfId="1" builtinId="8"/>
    <cellStyle name="Hyperlink 2" xfId="3" xr:uid="{3BBBDF96-FDCC-4480-9406-2368D77EA989}"/>
    <cellStyle name="Neutral" xfId="2" builtinId="28"/>
    <cellStyle name="Normal" xfId="0" builtinId="0"/>
    <cellStyle name="Output" xfId="4" builtinId="21"/>
    <cellStyle name="prospective" xfId="5" xr:uid="{E666867D-000B-495B-B449-EAE9F65648FF}"/>
    <cellStyle name="RowDup" xfId="7" xr:uid="{1EE17E70-0D71-43F1-BBE8-BD098E0F3B62}"/>
  </cellStyles>
  <dxfs count="838">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indexed="51"/>
        </patternFill>
      </fill>
    </dxf>
    <dxf>
      <fill>
        <patternFill>
          <bgColor indexed="52"/>
        </patternFill>
      </fill>
    </dxf>
    <dxf>
      <fill>
        <patternFill>
          <bgColor theme="9" tint="0.7999816888943144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rgb="FF006100"/>
      </font>
      <fill>
        <patternFill>
          <bgColor rgb="FFC6EFCE"/>
        </patternFill>
      </fill>
    </dxf>
    <dxf>
      <font>
        <color auto="1"/>
      </font>
      <fill>
        <patternFill>
          <bgColor theme="9" tint="0.79998168889431442"/>
        </patternFill>
      </fill>
    </dxf>
    <dxf>
      <font>
        <color auto="1"/>
      </font>
      <fill>
        <patternFill>
          <bgColor theme="9" tint="0.79998168889431442"/>
        </patternFill>
      </fill>
    </dxf>
    <dxf>
      <fill>
        <patternFill>
          <bgColor theme="9" tint="0.7999816888943144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ont>
        <color rgb="FFFF0000"/>
      </font>
    </dxf>
    <dxf>
      <font>
        <color theme="5"/>
      </font>
    </dxf>
    <dxf>
      <font>
        <color theme="7" tint="0.39994506668294322"/>
      </font>
    </dxf>
    <dxf>
      <font>
        <color rgb="FF996633"/>
      </font>
    </dxf>
    <dxf>
      <font>
        <color rgb="FF00B050"/>
      </font>
    </dxf>
    <dxf>
      <font>
        <color rgb="FF00B0F0"/>
      </font>
    </dxf>
    <dxf>
      <font>
        <color rgb="FF0065B0"/>
      </font>
    </dxf>
    <dxf>
      <font>
        <color rgb="FF002060"/>
      </font>
    </dxf>
    <dxf>
      <font>
        <color rgb="FF7030A0"/>
      </font>
    </dxf>
    <dxf>
      <font>
        <color rgb="FF9C0006"/>
      </font>
      <fill>
        <patternFill>
          <bgColor rgb="FFFFC7CE"/>
        </patternFill>
      </fill>
    </dxf>
    <dxf>
      <font>
        <color rgb="FF9C5700"/>
      </font>
      <fill>
        <patternFill>
          <bgColor rgb="FFFFEB9C"/>
        </patternFill>
      </fill>
    </dxf>
    <dxf>
      <fill>
        <patternFill>
          <bgColor rgb="FFFF99CC"/>
        </patternFill>
      </fill>
    </dxf>
    <dxf>
      <fill>
        <patternFill>
          <bgColor rgb="FFFF99C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99CC"/>
        </patternFill>
      </fill>
    </dxf>
    <dxf>
      <font>
        <color theme="1"/>
      </font>
      <fill>
        <patternFill>
          <bgColor rgb="FFFF99CC"/>
        </patternFill>
      </fill>
    </dxf>
    <dxf>
      <fill>
        <patternFill>
          <bgColor theme="9" tint="0.79998168889431442"/>
        </patternFill>
      </fill>
    </dxf>
    <dxf>
      <font>
        <color rgb="FF006100"/>
      </font>
      <fill>
        <patternFill>
          <bgColor rgb="FFC6EFCE"/>
        </patternFill>
      </fill>
    </dxf>
    <dxf>
      <fill>
        <patternFill>
          <bgColor theme="9" tint="0.79998168889431442"/>
        </patternFill>
      </fill>
    </dxf>
    <dxf>
      <fill>
        <patternFill>
          <bgColor theme="9" tint="0.79998168889431442"/>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auto="1"/>
      </font>
      <fill>
        <patternFill>
          <bgColor rgb="FFFF7B66"/>
        </patternFill>
      </fill>
    </dxf>
    <dxf>
      <fill>
        <patternFill>
          <bgColor rgb="FFE2A700"/>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F73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FF9C81"/>
        </patternFill>
      </fill>
    </dxf>
    <dxf>
      <fill>
        <patternFill>
          <bgColor rgb="FFFF7B66"/>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ont>
        <b/>
        <i val="0"/>
      </font>
      <fill>
        <gradientFill type="path" left="0.5" right="0.5" top="0.5" bottom="0.5">
          <stop position="0">
            <color rgb="FFFFCA33"/>
          </stop>
          <stop position="1">
            <color rgb="FFFFBA2D"/>
          </stop>
        </gradientFill>
      </fill>
    </dxf>
    <dxf>
      <fill>
        <patternFill>
          <bgColor rgb="FFD85659"/>
        </patternFill>
      </fill>
    </dxf>
    <dxf>
      <fill>
        <patternFill>
          <bgColor rgb="FFCC99FF"/>
        </patternFill>
      </fill>
    </dxf>
    <dxf>
      <fill>
        <patternFill>
          <bgColor rgb="FFFF7C80"/>
        </patternFill>
      </fill>
    </dxf>
    <dxf>
      <fill>
        <patternFill>
          <bgColor rgb="FFCC99FF"/>
        </patternFill>
      </fill>
    </dxf>
    <dxf>
      <fill>
        <patternFill>
          <bgColor rgb="FFFF7C80"/>
        </patternFill>
      </fill>
    </dxf>
    <dxf>
      <fill>
        <patternFill>
          <bgColor rgb="FFDE00A4"/>
        </patternFill>
      </fill>
    </dxf>
    <dxf>
      <fill>
        <patternFill>
          <bgColor rgb="FFDE00A4"/>
        </patternFill>
      </fill>
    </dxf>
    <dxf>
      <fill>
        <patternFill>
          <bgColor rgb="FFDF73A4"/>
        </patternFill>
      </fill>
    </dxf>
  </dxfs>
  <tableStyles count="0" defaultTableStyle="TableStyleMedium2" defaultPivotStyle="PivotStyleLight16"/>
  <colors>
    <mruColors>
      <color rgb="FFFFF8E5"/>
      <color rgb="FFFF5050"/>
      <color rgb="FFFF3300"/>
      <color rgb="FFFFF9F7"/>
      <color rgb="FFFFC6B7"/>
      <color rgb="FF000000"/>
      <color rgb="FFFF9999"/>
      <color rgb="FFFF6666"/>
      <color rgb="FFFF3333"/>
      <color rgb="FFFF7B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Kara Schwartz" id="{B2AC488D-5F49-40E3-944F-5A5133F872CA}" userId="S::kschwartz@accurate.com::b9771fd5-c767-47c3-a0c3-f3c57289765b"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 dT="2022-09-22T16:17:54.57" personId="{B2AC488D-5F49-40E3-944F-5A5133F872CA}" id="{C1C26ED1-0F2C-48D9-B2A8-53E5FD5467AF}">
    <text>calculates workdays from current day (currently 10 days out, can easily be changed in formula)</text>
  </threadedComment>
  <threadedComment ref="M2" dT="2022-09-22T16:18:31.79" personId="{B2AC488D-5F49-40E3-944F-5A5133F872CA}" id="{7A8EFF6A-E030-4DC4-8000-4A489DE6174A}">
    <text>put names in here and they will appear in the concatted message box formatted into an email header that can be pasted into a CT id request</text>
  </threadedComment>
  <threadedComment ref="F6" dT="2022-09-22T16:17:27.31" personId="{B2AC488D-5F49-40E3-944F-5A5133F872CA}" id="{5B18333C-D1DC-4992-9559-D2DD62A4FDB3}">
    <text>For the first entry of every date I also like to put the date here for easy grouping</text>
  </threadedComment>
  <threadedComment ref="B10" dT="2022-09-22T16:16:12.48" personId="{B2AC488D-5F49-40E3-944F-5A5133F872CA}" id="{9A896A4C-148C-412C-9DBB-44BBC49907FA}">
    <text>when you put a name in this field the date is automatically marked</text>
  </threadedComment>
  <threadedComment ref="E10" dT="2022-09-22T16:16:56.95" personId="{B2AC488D-5F49-40E3-944F-5A5133F872CA}" id="{5D3351C6-0A1C-44D3-AC4B-896E9168F3C9}">
    <text>this is a drop down. IF you want a type not in the dropdown you can add to the dropdown sheet or just write the desired text in another column then copy paste it to this column.</text>
  </threadedComment>
  <threadedComment ref="H12" dT="2022-09-22T16:19:05.88" personId="{B2AC488D-5F49-40E3-944F-5A5133F872CA}" id="{E29081A0-1200-4E8D-B320-1FF0531A8170}">
    <text>All of these are template responses stating that I cant get required ID info for followups</text>
  </threadedComment>
  <threadedComment ref="H22" dT="2022-09-22T16:19:20.88" personId="{B2AC488D-5F49-40E3-944F-5A5133F872CA}" id="{B207AE23-2452-40D5-BE7E-B9A785B32A33}">
    <text>headers for CT requests</text>
  </threadedComment>
  <threadedComment ref="H41" dT="2022-09-22T16:19:49.09" personId="{B2AC488D-5F49-40E3-944F-5A5133F872CA}" id="{204CDF0F-B872-4329-8343-06ADD1DB5438}">
    <text>outtdated method for checking SC STDBS. Now I just grey out the ones that Ive sent out</text>
  </threadedComment>
</ThreadedComments>
</file>

<file path=xl/threadedComments/threadedComment2.xml><?xml version="1.0" encoding="utf-8"?>
<ThreadedComments xmlns="http://schemas.microsoft.com/office/spreadsheetml/2018/threadedcomments" xmlns:x="http://schemas.openxmlformats.org/spreadsheetml/2006/main">
  <threadedComment ref="E3" dT="2022-02-22T18:03:35.39" personId="{B2AC488D-5F49-40E3-944F-5A5133F872CA}" id="{1BAA6E72-3807-4244-B96B-9ACC59583B10}">
    <text>these values might be skewed by the fact that its been a while since ive done long division</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D0C41AF-5763-4109-A79D-C80656461D3C}">
  <we:reference id="wa104380862" version="1.5.0.0" store="en-US" storeType="OMEX"/>
  <we:alternateReferences>
    <we:reference id="wa104380862" version="1.5.0.0" store="WA10438086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CB06A-3652-4165-9676-82B8780025DA}">
  <sheetPr codeName="Sheet1"/>
  <dimension ref="A1:N550"/>
  <sheetViews>
    <sheetView zoomScaleNormal="100" workbookViewId="0">
      <selection activeCell="H15" sqref="H15"/>
    </sheetView>
  </sheetViews>
  <sheetFormatPr defaultRowHeight="15"/>
  <cols>
    <col min="1" max="1" width="12.140625" style="1" customWidth="1"/>
    <col min="2" max="2" width="16" style="11" customWidth="1"/>
    <col min="3" max="3" width="13.5703125" style="5" customWidth="1"/>
    <col min="4" max="4" width="4.140625" style="11" hidden="1" customWidth="1"/>
    <col min="5" max="5" width="15.42578125" style="5" customWidth="1"/>
    <col min="6" max="6" width="9.85546875" style="11" customWidth="1"/>
    <col min="7" max="7" width="3" style="11" customWidth="1"/>
    <col min="8" max="8" width="34" style="11" customWidth="1"/>
    <col min="9" max="9" width="9.140625" style="11" customWidth="1"/>
    <col min="10" max="10" width="9.7109375" style="11" customWidth="1"/>
    <col min="11" max="11" width="3.42578125" style="11" customWidth="1"/>
    <col min="12" max="12" width="4.5703125" style="11" customWidth="1"/>
    <col min="13" max="13" width="20.28515625" style="11" customWidth="1"/>
    <col min="14" max="16" width="9.140625" style="11" customWidth="1"/>
    <col min="17" max="16384" width="9.140625" style="11"/>
  </cols>
  <sheetData>
    <row r="1" spans="1:14" ht="15.75" customHeight="1">
      <c r="A1" s="17" t="s">
        <v>0</v>
      </c>
      <c r="B1" s="18" t="s">
        <v>1</v>
      </c>
      <c r="C1" s="17" t="s">
        <v>2</v>
      </c>
      <c r="D1" s="19"/>
      <c r="E1" s="17" t="s">
        <v>3</v>
      </c>
    </row>
    <row r="2" spans="1:14">
      <c r="A2" s="77">
        <f t="shared" ref="A2:A65" ca="1" si="0">IF(B2="","",IF(A2="",TODAY(),A2))</f>
        <v>44550</v>
      </c>
      <c r="B2" s="69" t="s">
        <v>46</v>
      </c>
      <c r="C2" s="70">
        <v>238706257</v>
      </c>
      <c r="E2" s="71" t="s">
        <v>42</v>
      </c>
      <c r="H2" s="58" t="s">
        <v>4</v>
      </c>
    </row>
    <row r="3" spans="1:14">
      <c r="A3" s="77">
        <f t="shared" ca="1" si="0"/>
        <v>44568</v>
      </c>
      <c r="B3" s="69" t="s">
        <v>49</v>
      </c>
      <c r="C3" s="70">
        <v>240762724</v>
      </c>
      <c r="E3" s="73" t="s">
        <v>42</v>
      </c>
      <c r="H3" s="350">
        <f ca="1">WORKDAY(J4,K4)</f>
        <v>44833</v>
      </c>
      <c r="N3" s="11" t="s">
        <v>6</v>
      </c>
    </row>
    <row r="4" spans="1:14">
      <c r="A4" s="77">
        <f t="shared" ca="1" si="0"/>
        <v>44568</v>
      </c>
      <c r="B4" s="69" t="s">
        <v>50</v>
      </c>
      <c r="C4" s="70">
        <v>240798846</v>
      </c>
      <c r="E4" s="71" t="s">
        <v>42</v>
      </c>
      <c r="H4" s="351"/>
      <c r="J4" s="7">
        <f ca="1">TODAY()</f>
        <v>44826</v>
      </c>
      <c r="K4" s="11">
        <v>5</v>
      </c>
      <c r="M4" s="58" t="s">
        <v>5</v>
      </c>
      <c r="N4" s="11" t="s">
        <v>104</v>
      </c>
    </row>
    <row r="5" spans="1:14" ht="17.25" customHeight="1">
      <c r="A5" s="77">
        <f t="shared" ca="1" si="0"/>
        <v>44572</v>
      </c>
      <c r="B5" s="69" t="s">
        <v>51</v>
      </c>
      <c r="C5" s="70">
        <v>240965542</v>
      </c>
      <c r="E5" s="71" t="s">
        <v>42</v>
      </c>
      <c r="F5" s="7">
        <v>44572</v>
      </c>
      <c r="M5" s="2" t="s">
        <v>93</v>
      </c>
    </row>
    <row r="6" spans="1:14" ht="35.25" customHeight="1">
      <c r="A6" s="77">
        <f t="shared" ca="1" si="0"/>
        <v>44572</v>
      </c>
      <c r="B6" s="69" t="s">
        <v>52</v>
      </c>
      <c r="C6" s="70">
        <v>240985378</v>
      </c>
      <c r="E6" s="71" t="s">
        <v>42</v>
      </c>
      <c r="H6" s="64" t="s">
        <v>8</v>
      </c>
      <c r="M6" s="2" t="s">
        <v>94</v>
      </c>
    </row>
    <row r="7" spans="1:14">
      <c r="A7" s="77">
        <f t="shared" ca="1" si="0"/>
        <v>44572</v>
      </c>
      <c r="B7" s="69" t="s">
        <v>53</v>
      </c>
      <c r="C7" s="70">
        <v>241035138</v>
      </c>
      <c r="E7" s="71" t="s">
        <v>42</v>
      </c>
      <c r="H7" s="361" t="str">
        <f>CONCATENATE(I9,N3, N4)</f>
        <v>Please review the requests in the spreadsheet attached for the defendants TEXTJOIN(", ",TRUE,M5:M34)</v>
      </c>
      <c r="M7" s="2" t="s">
        <v>95</v>
      </c>
    </row>
    <row r="8" spans="1:14">
      <c r="A8" s="77">
        <f t="shared" ca="1" si="0"/>
        <v>44574</v>
      </c>
      <c r="B8" s="69" t="s">
        <v>55</v>
      </c>
      <c r="C8" s="70">
        <v>241523689</v>
      </c>
      <c r="E8" s="71" t="s">
        <v>42</v>
      </c>
      <c r="H8" s="362"/>
      <c r="M8" s="2" t="s">
        <v>96</v>
      </c>
    </row>
    <row r="9" spans="1:14" ht="21.75" customHeight="1">
      <c r="A9" s="77">
        <f t="shared" ca="1" si="0"/>
        <v>44575</v>
      </c>
      <c r="B9" s="69" t="s">
        <v>56</v>
      </c>
      <c r="C9" s="70">
        <v>241168010</v>
      </c>
      <c r="E9" s="71" t="s">
        <v>42</v>
      </c>
      <c r="F9" s="7">
        <v>44575</v>
      </c>
      <c r="H9" s="362"/>
      <c r="I9" s="11" t="s">
        <v>7</v>
      </c>
      <c r="L9" s="11" t="s">
        <v>6</v>
      </c>
      <c r="M9" s="2"/>
    </row>
    <row r="10" spans="1:14" ht="31.5" customHeight="1">
      <c r="A10" s="77">
        <f t="shared" ca="1" si="0"/>
        <v>44575</v>
      </c>
      <c r="B10" s="69" t="s">
        <v>57</v>
      </c>
      <c r="C10" s="70">
        <v>241288684</v>
      </c>
      <c r="E10" s="71" t="s">
        <v>42</v>
      </c>
      <c r="H10" s="363"/>
      <c r="M10" s="2"/>
    </row>
    <row r="11" spans="1:14" ht="15" customHeight="1">
      <c r="A11" s="77">
        <f t="shared" ca="1" si="0"/>
        <v>44575</v>
      </c>
      <c r="B11" s="69" t="s">
        <v>58</v>
      </c>
      <c r="C11" s="70">
        <v>241421915</v>
      </c>
      <c r="E11" s="71" t="s">
        <v>42</v>
      </c>
      <c r="L11" s="11" t="s">
        <v>6</v>
      </c>
      <c r="M11" s="2"/>
    </row>
    <row r="12" spans="1:14">
      <c r="A12" s="77">
        <f t="shared" ca="1" si="0"/>
        <v>44578</v>
      </c>
      <c r="B12" s="69" t="s">
        <v>59</v>
      </c>
      <c r="C12" s="72">
        <v>241627856</v>
      </c>
      <c r="D12" s="74"/>
      <c r="E12" s="71" t="s">
        <v>42</v>
      </c>
      <c r="F12" s="7">
        <v>44578</v>
      </c>
      <c r="H12" s="15" t="s">
        <v>9</v>
      </c>
      <c r="L12" s="11" t="s">
        <v>6</v>
      </c>
      <c r="M12" s="2"/>
    </row>
    <row r="13" spans="1:14">
      <c r="A13" s="77">
        <f t="shared" ca="1" si="0"/>
        <v>44578</v>
      </c>
      <c r="B13" s="69" t="s">
        <v>60</v>
      </c>
      <c r="C13" s="72">
        <v>241722368</v>
      </c>
      <c r="D13" s="74"/>
      <c r="E13" s="71" t="s">
        <v>42</v>
      </c>
      <c r="H13" s="60" t="s">
        <v>10</v>
      </c>
      <c r="L13" s="11" t="s">
        <v>6</v>
      </c>
      <c r="M13" s="2"/>
    </row>
    <row r="14" spans="1:14">
      <c r="A14" s="77">
        <f t="shared" ca="1" si="0"/>
        <v>44578</v>
      </c>
      <c r="B14" s="69" t="s">
        <v>61</v>
      </c>
      <c r="C14" s="72">
        <v>241758057</v>
      </c>
      <c r="D14" s="74"/>
      <c r="E14" s="71" t="s">
        <v>42</v>
      </c>
      <c r="H14" s="61" t="s">
        <v>11</v>
      </c>
      <c r="L14" s="11" t="s">
        <v>6</v>
      </c>
      <c r="M14" s="2"/>
    </row>
    <row r="15" spans="1:14">
      <c r="A15" s="77">
        <f t="shared" ca="1" si="0"/>
        <v>44578</v>
      </c>
      <c r="B15" s="69" t="s">
        <v>62</v>
      </c>
      <c r="C15" s="72">
        <v>241905675</v>
      </c>
      <c r="E15" s="71" t="s">
        <v>42</v>
      </c>
      <c r="H15" s="55" t="s">
        <v>44</v>
      </c>
      <c r="L15" s="11" t="s">
        <v>6</v>
      </c>
      <c r="M15" s="2"/>
    </row>
    <row r="16" spans="1:14">
      <c r="A16" s="77">
        <f t="shared" ca="1" si="0"/>
        <v>44579</v>
      </c>
      <c r="B16" s="69" t="s">
        <v>69</v>
      </c>
      <c r="C16" s="72">
        <v>241987084</v>
      </c>
      <c r="E16" s="2" t="s">
        <v>42</v>
      </c>
      <c r="F16" s="7">
        <v>44579</v>
      </c>
      <c r="H16" s="14" t="s">
        <v>43</v>
      </c>
      <c r="L16" s="11" t="s">
        <v>6</v>
      </c>
      <c r="M16" s="2"/>
    </row>
    <row r="17" spans="1:13">
      <c r="A17" s="77">
        <f t="shared" ca="1" si="0"/>
        <v>44579</v>
      </c>
      <c r="B17" s="69" t="s">
        <v>72</v>
      </c>
      <c r="C17" s="72">
        <v>242062694</v>
      </c>
      <c r="E17" s="2" t="s">
        <v>42</v>
      </c>
      <c r="H17" s="54" t="s">
        <v>19</v>
      </c>
      <c r="L17" s="11" t="s">
        <v>6</v>
      </c>
      <c r="M17" s="2"/>
    </row>
    <row r="18" spans="1:13">
      <c r="A18" s="77">
        <f t="shared" ca="1" si="0"/>
        <v>44579</v>
      </c>
      <c r="B18" s="69" t="s">
        <v>73</v>
      </c>
      <c r="C18" s="72">
        <v>242415289</v>
      </c>
      <c r="E18" s="2" t="s">
        <v>42</v>
      </c>
      <c r="H18" s="9" t="s">
        <v>13</v>
      </c>
      <c r="L18" s="11" t="s">
        <v>6</v>
      </c>
      <c r="M18" s="2"/>
    </row>
    <row r="19" spans="1:13">
      <c r="A19" s="77">
        <f t="shared" ca="1" si="0"/>
        <v>44579</v>
      </c>
      <c r="B19" s="69" t="s">
        <v>76</v>
      </c>
      <c r="C19" s="72">
        <v>242212394</v>
      </c>
      <c r="E19" s="2" t="s">
        <v>42</v>
      </c>
      <c r="H19" s="57" t="s">
        <v>12</v>
      </c>
      <c r="L19" s="11" t="s">
        <v>6</v>
      </c>
      <c r="M19" s="2"/>
    </row>
    <row r="20" spans="1:13">
      <c r="A20" s="77">
        <f t="shared" ca="1" si="0"/>
        <v>44579</v>
      </c>
      <c r="B20" s="69" t="s">
        <v>79</v>
      </c>
      <c r="C20" s="72">
        <v>242217875</v>
      </c>
      <c r="E20" s="2" t="s">
        <v>42</v>
      </c>
      <c r="H20" s="56" t="s">
        <v>18</v>
      </c>
      <c r="L20" s="11" t="s">
        <v>6</v>
      </c>
      <c r="M20" s="2"/>
    </row>
    <row r="21" spans="1:13">
      <c r="A21" s="77">
        <f t="shared" ca="1" si="0"/>
        <v>44582</v>
      </c>
      <c r="B21" s="69" t="s">
        <v>80</v>
      </c>
      <c r="C21" s="72">
        <v>242358696</v>
      </c>
      <c r="E21" s="2" t="s">
        <v>42</v>
      </c>
      <c r="L21" s="11" t="s">
        <v>6</v>
      </c>
      <c r="M21" s="2"/>
    </row>
    <row r="22" spans="1:13" ht="15.75">
      <c r="A22" s="77">
        <f t="shared" ca="1" si="0"/>
        <v>44582</v>
      </c>
      <c r="B22" s="69" t="s">
        <v>81</v>
      </c>
      <c r="C22" s="72">
        <v>242372281</v>
      </c>
      <c r="E22" s="2" t="s">
        <v>42</v>
      </c>
      <c r="H22" s="23" t="s">
        <v>23</v>
      </c>
      <c r="L22" s="11" t="s">
        <v>6</v>
      </c>
      <c r="M22" s="2"/>
    </row>
    <row r="23" spans="1:13">
      <c r="A23" s="8">
        <f t="shared" ca="1" si="0"/>
        <v>44585</v>
      </c>
      <c r="B23" s="12" t="s">
        <v>82</v>
      </c>
      <c r="C23" s="4">
        <v>242855960</v>
      </c>
      <c r="E23" s="2" t="s">
        <v>45</v>
      </c>
      <c r="F23" s="7">
        <v>44585</v>
      </c>
      <c r="H23" s="360" t="str">
        <f ca="1">I25&amp;TEXT(TODAY(),"mm.dd")&amp;TEXT(J25,".00")</f>
        <v>Kschwartz ACC CrimInfoVer 09.22 b1</v>
      </c>
      <c r="M23" s="2"/>
    </row>
    <row r="24" spans="1:13">
      <c r="A24" s="8">
        <f t="shared" ca="1" si="0"/>
        <v>44585</v>
      </c>
      <c r="B24" s="75" t="s">
        <v>83</v>
      </c>
      <c r="C24" s="4">
        <v>242854846</v>
      </c>
      <c r="E24" s="2" t="s">
        <v>45</v>
      </c>
      <c r="H24" s="360"/>
      <c r="I24" s="21" t="s">
        <v>21</v>
      </c>
      <c r="J24" s="22" t="s">
        <v>22</v>
      </c>
      <c r="M24" s="2"/>
    </row>
    <row r="25" spans="1:13">
      <c r="A25" s="8">
        <f t="shared" ca="1" si="0"/>
        <v>44585</v>
      </c>
      <c r="B25" s="12" t="s">
        <v>84</v>
      </c>
      <c r="C25" s="4">
        <v>242833561</v>
      </c>
      <c r="E25" s="2" t="s">
        <v>45</v>
      </c>
      <c r="H25" s="364" t="str">
        <f ca="1">I27&amp;TEXT(TODAY(),"mm.dd")&amp;TEXT(J27,".00")</f>
        <v xml:space="preserve">Kschwartz ACC CrimInfoVer09.22 b2 </v>
      </c>
      <c r="I25" s="353" t="s">
        <v>30</v>
      </c>
      <c r="J25" s="360" t="s">
        <v>24</v>
      </c>
      <c r="M25" s="2"/>
    </row>
    <row r="26" spans="1:13">
      <c r="A26" s="8">
        <f t="shared" ca="1" si="0"/>
        <v>44585</v>
      </c>
      <c r="B26" s="12" t="s">
        <v>85</v>
      </c>
      <c r="C26" s="4">
        <v>242866206</v>
      </c>
      <c r="E26" s="2" t="s">
        <v>45</v>
      </c>
      <c r="H26" s="365"/>
      <c r="I26" s="353"/>
      <c r="J26" s="360"/>
      <c r="M26" s="3"/>
    </row>
    <row r="27" spans="1:13">
      <c r="A27" s="8">
        <f t="shared" ca="1" si="0"/>
        <v>44585</v>
      </c>
      <c r="B27" s="12" t="s">
        <v>86</v>
      </c>
      <c r="C27" s="4">
        <v>243004499</v>
      </c>
      <c r="E27" s="2" t="s">
        <v>45</v>
      </c>
      <c r="H27" s="356" t="str">
        <f ca="1">I29&amp;TEXT(TODAY(),"mm.dd")&amp;TEXT(J29,".00")</f>
        <v>Kschwartz ACC CrimInfoVer09.22 b3</v>
      </c>
      <c r="I27" s="353" t="s">
        <v>29</v>
      </c>
      <c r="J27" s="357" t="s">
        <v>28</v>
      </c>
    </row>
    <row r="28" spans="1:13" ht="15" customHeight="1">
      <c r="A28" s="8">
        <f t="shared" ca="1" si="0"/>
        <v>44585</v>
      </c>
      <c r="B28" s="12" t="s">
        <v>87</v>
      </c>
      <c r="C28" s="4">
        <v>242975860</v>
      </c>
      <c r="E28" s="2" t="s">
        <v>45</v>
      </c>
      <c r="H28" s="356"/>
      <c r="I28" s="353"/>
      <c r="J28" s="357"/>
    </row>
    <row r="29" spans="1:13" ht="15" customHeight="1">
      <c r="A29" s="8">
        <f t="shared" ca="1" si="0"/>
        <v>44585</v>
      </c>
      <c r="B29" s="75" t="s">
        <v>88</v>
      </c>
      <c r="C29" s="4">
        <v>243103066</v>
      </c>
      <c r="E29" s="2" t="s">
        <v>45</v>
      </c>
      <c r="H29" s="358" t="str">
        <f ca="1">I31&amp;TEXT(TODAY(),"mm.dd")&amp;TEXT(J31,".00")</f>
        <v xml:space="preserve">Kschwartz ACC CrimInfoVer09.22 b4 </v>
      </c>
      <c r="I29" s="353" t="s">
        <v>29</v>
      </c>
      <c r="J29" s="359" t="s">
        <v>25</v>
      </c>
    </row>
    <row r="30" spans="1:13">
      <c r="A30" s="8">
        <f t="shared" ca="1" si="0"/>
        <v>44585</v>
      </c>
      <c r="B30" s="12" t="s">
        <v>89</v>
      </c>
      <c r="C30" s="4">
        <v>243051974</v>
      </c>
      <c r="E30" s="2" t="s">
        <v>45</v>
      </c>
      <c r="H30" s="358"/>
      <c r="I30" s="353"/>
      <c r="J30" s="359"/>
    </row>
    <row r="31" spans="1:13">
      <c r="A31" s="8">
        <f t="shared" ca="1" si="0"/>
        <v>44586</v>
      </c>
      <c r="B31" s="12" t="s">
        <v>90</v>
      </c>
      <c r="C31" s="4">
        <v>243311703</v>
      </c>
      <c r="E31" s="2" t="s">
        <v>45</v>
      </c>
      <c r="F31" s="7">
        <v>44586</v>
      </c>
      <c r="H31" s="352" t="str">
        <f ca="1">I33&amp;TEXT(TODAY(),"mm.dd")&amp;TEXT(J33,".00")</f>
        <v>Kschwartz ACC CrimInfoVer09.22 b5</v>
      </c>
      <c r="I31" s="353" t="s">
        <v>29</v>
      </c>
      <c r="J31" s="354" t="s">
        <v>26</v>
      </c>
    </row>
    <row r="32" spans="1:13">
      <c r="A32" s="8">
        <f t="shared" ca="1" si="0"/>
        <v>44586</v>
      </c>
      <c r="B32" s="12" t="s">
        <v>91</v>
      </c>
      <c r="C32" s="4">
        <v>243404138</v>
      </c>
      <c r="E32" s="2" t="s">
        <v>45</v>
      </c>
      <c r="H32" s="352"/>
      <c r="I32" s="353"/>
      <c r="J32" s="354"/>
    </row>
    <row r="33" spans="1:14">
      <c r="A33" s="77">
        <f t="shared" ca="1" si="0"/>
        <v>44587</v>
      </c>
      <c r="B33" s="69" t="s">
        <v>97</v>
      </c>
      <c r="C33" s="72">
        <v>243146207</v>
      </c>
      <c r="E33" s="2" t="s">
        <v>42</v>
      </c>
      <c r="F33" s="7">
        <v>44587</v>
      </c>
      <c r="H33" s="20"/>
      <c r="I33" s="353" t="s">
        <v>29</v>
      </c>
      <c r="J33" s="355" t="s">
        <v>27</v>
      </c>
    </row>
    <row r="34" spans="1:14">
      <c r="A34" s="8">
        <f t="shared" ca="1" si="0"/>
        <v>44587</v>
      </c>
      <c r="B34" s="76" t="s">
        <v>98</v>
      </c>
      <c r="C34" s="79">
        <v>243446793</v>
      </c>
      <c r="E34" s="2" t="s">
        <v>42</v>
      </c>
      <c r="H34" s="20"/>
      <c r="I34" s="353"/>
      <c r="J34" s="355"/>
    </row>
    <row r="35" spans="1:14">
      <c r="A35" s="8">
        <f t="shared" ca="1" si="0"/>
        <v>44587</v>
      </c>
      <c r="B35" s="75" t="s">
        <v>99</v>
      </c>
      <c r="C35" s="4">
        <v>243473117</v>
      </c>
      <c r="E35" s="2" t="s">
        <v>45</v>
      </c>
      <c r="H35" s="20"/>
      <c r="I35" s="20"/>
      <c r="J35" s="20"/>
    </row>
    <row r="36" spans="1:14">
      <c r="A36" s="8">
        <f t="shared" ca="1" si="0"/>
        <v>44587</v>
      </c>
      <c r="B36" s="12" t="s">
        <v>100</v>
      </c>
      <c r="C36" s="4">
        <v>243534799</v>
      </c>
      <c r="E36" s="2" t="s">
        <v>45</v>
      </c>
      <c r="H36" s="12"/>
      <c r="I36" s="20"/>
      <c r="J36" s="20"/>
    </row>
    <row r="37" spans="1:14">
      <c r="A37" s="8">
        <f t="shared" ca="1" si="0"/>
        <v>44587</v>
      </c>
      <c r="B37" s="76" t="s">
        <v>101</v>
      </c>
      <c r="C37" s="79">
        <v>243541057</v>
      </c>
      <c r="E37" s="2" t="s">
        <v>42</v>
      </c>
      <c r="H37" s="58" t="s">
        <v>4</v>
      </c>
      <c r="I37" s="20"/>
      <c r="J37" s="20"/>
    </row>
    <row r="38" spans="1:14">
      <c r="A38" s="8" t="str">
        <f t="shared" ca="1" si="0"/>
        <v/>
      </c>
      <c r="B38" s="12"/>
      <c r="C38" s="4"/>
      <c r="E38" s="2"/>
      <c r="H38" s="350">
        <f ca="1">WORKDAY(J4,K4)</f>
        <v>44833</v>
      </c>
      <c r="I38" s="20"/>
      <c r="J38" s="20"/>
    </row>
    <row r="39" spans="1:14">
      <c r="A39" s="8" t="str">
        <f t="shared" ca="1" si="0"/>
        <v/>
      </c>
      <c r="B39" s="12"/>
      <c r="C39" s="4"/>
      <c r="E39" s="2"/>
      <c r="H39" s="351"/>
      <c r="I39" s="20"/>
      <c r="J39" s="20"/>
    </row>
    <row r="40" spans="1:14" ht="15.75" thickBot="1">
      <c r="A40" s="8" t="str">
        <f t="shared" ca="1" si="0"/>
        <v/>
      </c>
      <c r="B40" s="12"/>
      <c r="C40" s="4"/>
      <c r="E40" s="2"/>
      <c r="H40" s="20"/>
      <c r="I40" s="20"/>
      <c r="J40" s="20"/>
      <c r="K40" s="7"/>
    </row>
    <row r="41" spans="1:14" ht="15.75" thickBot="1">
      <c r="A41" s="8" t="str">
        <f t="shared" ca="1" si="0"/>
        <v/>
      </c>
      <c r="B41" s="12"/>
      <c r="C41" s="4"/>
      <c r="E41" s="2"/>
      <c r="H41" s="66" t="s">
        <v>63</v>
      </c>
      <c r="I41" s="20"/>
      <c r="J41" s="20"/>
      <c r="K41" s="7"/>
    </row>
    <row r="42" spans="1:14">
      <c r="A42" s="8" t="str">
        <f t="shared" ca="1" si="0"/>
        <v/>
      </c>
      <c r="B42" s="12"/>
      <c r="C42" s="4"/>
      <c r="E42" s="2"/>
      <c r="H42" s="67" t="s">
        <v>65</v>
      </c>
      <c r="I42" s="20"/>
      <c r="J42" s="20"/>
    </row>
    <row r="43" spans="1:14">
      <c r="A43" s="8" t="str">
        <f t="shared" ca="1" si="0"/>
        <v/>
      </c>
      <c r="B43" s="12"/>
      <c r="C43" s="4"/>
      <c r="E43" s="2"/>
      <c r="H43" s="65" t="s">
        <v>64</v>
      </c>
      <c r="I43" s="20"/>
      <c r="J43" s="20"/>
    </row>
    <row r="44" spans="1:14">
      <c r="A44" s="8" t="str">
        <f t="shared" ca="1" si="0"/>
        <v/>
      </c>
      <c r="B44" s="12"/>
      <c r="C44" s="4"/>
      <c r="E44" s="2"/>
      <c r="H44" s="68" t="s">
        <v>66</v>
      </c>
      <c r="I44" s="20"/>
      <c r="J44" s="20"/>
    </row>
    <row r="45" spans="1:14" ht="15" customHeight="1">
      <c r="A45" s="8" t="str">
        <f t="shared" ca="1" si="0"/>
        <v/>
      </c>
      <c r="B45" s="12"/>
      <c r="C45" s="4"/>
      <c r="E45" s="2"/>
      <c r="H45" s="52"/>
      <c r="I45" s="20"/>
      <c r="J45" s="20"/>
      <c r="N45" s="53" t="s">
        <v>47</v>
      </c>
    </row>
    <row r="46" spans="1:14" ht="15.75" customHeight="1">
      <c r="A46" s="8" t="str">
        <f t="shared" ca="1" si="0"/>
        <v/>
      </c>
      <c r="B46" s="12"/>
      <c r="C46" s="4"/>
      <c r="E46" s="2"/>
      <c r="I46" s="20"/>
      <c r="J46" s="20"/>
      <c r="N46" s="20"/>
    </row>
    <row r="47" spans="1:14">
      <c r="A47" s="8" t="str">
        <f t="shared" ca="1" si="0"/>
        <v/>
      </c>
      <c r="B47" s="12"/>
      <c r="C47" s="4"/>
      <c r="E47" s="2"/>
      <c r="I47" s="20"/>
      <c r="J47" s="20"/>
      <c r="N47" s="20"/>
    </row>
    <row r="48" spans="1:14">
      <c r="A48" s="8" t="str">
        <f t="shared" ca="1" si="0"/>
        <v/>
      </c>
      <c r="B48" s="12"/>
      <c r="C48" s="4"/>
      <c r="E48" s="2"/>
      <c r="I48" s="20"/>
      <c r="J48" s="20"/>
      <c r="N48" s="11" t="s">
        <v>48</v>
      </c>
    </row>
    <row r="49" spans="1:12">
      <c r="A49" s="8" t="str">
        <f t="shared" ca="1" si="0"/>
        <v/>
      </c>
      <c r="B49" s="12"/>
      <c r="C49" s="4"/>
      <c r="E49" s="2"/>
    </row>
    <row r="50" spans="1:12">
      <c r="A50" s="8" t="str">
        <f t="shared" ca="1" si="0"/>
        <v/>
      </c>
      <c r="B50" s="12"/>
      <c r="C50" s="4"/>
      <c r="E50" s="2"/>
      <c r="H50" s="11" t="s">
        <v>92</v>
      </c>
    </row>
    <row r="51" spans="1:12">
      <c r="A51" s="8" t="str">
        <f t="shared" ca="1" si="0"/>
        <v/>
      </c>
      <c r="B51" s="12"/>
      <c r="C51" s="4"/>
      <c r="E51" s="2"/>
    </row>
    <row r="52" spans="1:12">
      <c r="A52" s="8" t="str">
        <f t="shared" ca="1" si="0"/>
        <v/>
      </c>
      <c r="B52" s="12"/>
      <c r="C52" s="4"/>
      <c r="E52" s="2"/>
      <c r="L52" s="11" t="s">
        <v>6</v>
      </c>
    </row>
    <row r="53" spans="1:12">
      <c r="A53" s="8" t="str">
        <f t="shared" ca="1" si="0"/>
        <v/>
      </c>
      <c r="B53" s="12"/>
      <c r="C53" s="4"/>
      <c r="E53" s="2"/>
      <c r="H53" s="55" t="s">
        <v>44</v>
      </c>
      <c r="L53" s="11" t="s">
        <v>6</v>
      </c>
    </row>
    <row r="54" spans="1:12">
      <c r="A54" s="8" t="str">
        <f t="shared" ca="1" si="0"/>
        <v/>
      </c>
      <c r="B54" s="12"/>
      <c r="C54" s="4"/>
      <c r="E54" s="2"/>
      <c r="H54" s="14" t="s">
        <v>43</v>
      </c>
      <c r="L54" s="11" t="s">
        <v>6</v>
      </c>
    </row>
    <row r="55" spans="1:12">
      <c r="A55" s="8" t="str">
        <f t="shared" ca="1" si="0"/>
        <v/>
      </c>
      <c r="B55" s="12"/>
      <c r="C55" s="4"/>
      <c r="E55" s="2"/>
      <c r="L55" s="11" t="s">
        <v>6</v>
      </c>
    </row>
    <row r="56" spans="1:12">
      <c r="A56" s="8" t="str">
        <f t="shared" ca="1" si="0"/>
        <v/>
      </c>
      <c r="B56" s="12"/>
      <c r="C56" s="4"/>
      <c r="E56" s="2"/>
      <c r="L56" s="11" t="s">
        <v>6</v>
      </c>
    </row>
    <row r="57" spans="1:12">
      <c r="A57" s="8" t="str">
        <f t="shared" ca="1" si="0"/>
        <v/>
      </c>
      <c r="B57" s="12"/>
      <c r="C57" s="4"/>
      <c r="E57" s="2"/>
      <c r="L57" s="11" t="s">
        <v>6</v>
      </c>
    </row>
    <row r="58" spans="1:12">
      <c r="A58" s="8" t="str">
        <f t="shared" ca="1" si="0"/>
        <v/>
      </c>
      <c r="B58" s="12"/>
      <c r="C58" s="4"/>
      <c r="E58" s="2"/>
    </row>
    <row r="59" spans="1:12">
      <c r="A59" s="8" t="str">
        <f t="shared" ca="1" si="0"/>
        <v/>
      </c>
      <c r="B59" s="12"/>
      <c r="C59" s="4"/>
      <c r="E59" s="2"/>
    </row>
    <row r="60" spans="1:12">
      <c r="A60" s="8" t="str">
        <f t="shared" ca="1" si="0"/>
        <v/>
      </c>
      <c r="B60" s="12"/>
      <c r="C60" s="4"/>
      <c r="E60" s="2"/>
    </row>
    <row r="61" spans="1:12">
      <c r="A61" s="8" t="str">
        <f t="shared" ca="1" si="0"/>
        <v/>
      </c>
      <c r="B61" s="12"/>
      <c r="C61" s="4"/>
      <c r="E61" s="2"/>
    </row>
    <row r="62" spans="1:12">
      <c r="A62" s="8" t="str">
        <f t="shared" ca="1" si="0"/>
        <v/>
      </c>
      <c r="B62" s="12"/>
      <c r="C62" s="4"/>
      <c r="E62" s="2"/>
    </row>
    <row r="63" spans="1:12">
      <c r="A63" s="8" t="str">
        <f t="shared" ca="1" si="0"/>
        <v/>
      </c>
      <c r="B63" s="12"/>
      <c r="C63" s="4"/>
      <c r="E63" s="2"/>
      <c r="H63" s="58" t="s">
        <v>4</v>
      </c>
    </row>
    <row r="64" spans="1:12">
      <c r="A64" s="8" t="str">
        <f t="shared" ca="1" si="0"/>
        <v/>
      </c>
      <c r="B64" s="12"/>
      <c r="C64" s="4"/>
      <c r="E64" s="2"/>
      <c r="H64" s="350">
        <f ca="1">WORKDAY(J4,K4)</f>
        <v>44833</v>
      </c>
    </row>
    <row r="65" spans="1:8">
      <c r="A65" s="8" t="str">
        <f t="shared" ca="1" si="0"/>
        <v/>
      </c>
      <c r="B65" s="12"/>
      <c r="C65" s="4"/>
      <c r="E65" s="2"/>
      <c r="H65" s="351"/>
    </row>
    <row r="66" spans="1:8">
      <c r="A66" s="8" t="str">
        <f t="shared" ref="A66:A129" ca="1" si="1">IF(B66="","",IF(A66="",TODAY(),A66))</f>
        <v/>
      </c>
      <c r="B66" s="12"/>
      <c r="C66" s="4"/>
      <c r="E66" s="2"/>
    </row>
    <row r="67" spans="1:8">
      <c r="A67" s="8" t="str">
        <f t="shared" ca="1" si="1"/>
        <v/>
      </c>
      <c r="B67" s="12"/>
      <c r="C67" s="4"/>
      <c r="E67" s="2"/>
    </row>
    <row r="68" spans="1:8">
      <c r="A68" s="8" t="str">
        <f t="shared" ca="1" si="1"/>
        <v/>
      </c>
      <c r="B68" s="12"/>
      <c r="C68" s="4"/>
      <c r="E68" s="2"/>
    </row>
    <row r="69" spans="1:8">
      <c r="A69" s="8" t="str">
        <f t="shared" ca="1" si="1"/>
        <v/>
      </c>
      <c r="B69" s="12"/>
      <c r="C69" s="4"/>
      <c r="E69" s="2"/>
    </row>
    <row r="70" spans="1:8">
      <c r="A70" s="8" t="str">
        <f t="shared" ca="1" si="1"/>
        <v/>
      </c>
      <c r="B70" s="12"/>
      <c r="C70" s="4"/>
      <c r="E70" s="2"/>
    </row>
    <row r="71" spans="1:8">
      <c r="A71" s="8" t="str">
        <f t="shared" ca="1" si="1"/>
        <v/>
      </c>
      <c r="B71" s="12"/>
      <c r="C71" s="4"/>
      <c r="E71" s="2"/>
    </row>
    <row r="72" spans="1:8">
      <c r="A72" s="8" t="str">
        <f t="shared" ca="1" si="1"/>
        <v/>
      </c>
      <c r="B72" s="12"/>
      <c r="C72" s="4"/>
      <c r="E72" s="2"/>
    </row>
    <row r="73" spans="1:8">
      <c r="A73" s="8" t="str">
        <f t="shared" ca="1" si="1"/>
        <v/>
      </c>
      <c r="B73" s="12"/>
      <c r="C73" s="4"/>
      <c r="E73" s="2"/>
    </row>
    <row r="74" spans="1:8">
      <c r="A74" s="8" t="str">
        <f t="shared" ca="1" si="1"/>
        <v/>
      </c>
      <c r="B74" s="12"/>
      <c r="C74" s="4"/>
      <c r="E74" s="2"/>
    </row>
    <row r="75" spans="1:8">
      <c r="A75" s="8" t="str">
        <f t="shared" ca="1" si="1"/>
        <v/>
      </c>
      <c r="B75" s="12"/>
      <c r="C75" s="4"/>
      <c r="E75" s="2"/>
    </row>
    <row r="76" spans="1:8">
      <c r="A76" s="8" t="str">
        <f t="shared" ca="1" si="1"/>
        <v/>
      </c>
      <c r="B76" s="12"/>
      <c r="C76" s="4"/>
      <c r="E76" s="2"/>
    </row>
    <row r="77" spans="1:8">
      <c r="A77" s="8" t="str">
        <f t="shared" ca="1" si="1"/>
        <v/>
      </c>
      <c r="B77" s="12"/>
      <c r="C77" s="4"/>
      <c r="E77" s="2"/>
    </row>
    <row r="78" spans="1:8">
      <c r="A78" s="8" t="str">
        <f t="shared" ca="1" si="1"/>
        <v/>
      </c>
      <c r="B78" s="12"/>
      <c r="C78" s="4"/>
      <c r="E78" s="2"/>
    </row>
    <row r="79" spans="1:8">
      <c r="A79" s="8" t="str">
        <f t="shared" ca="1" si="1"/>
        <v/>
      </c>
      <c r="B79" s="12"/>
      <c r="C79" s="4"/>
      <c r="E79" s="2"/>
    </row>
    <row r="80" spans="1:8">
      <c r="A80" s="8" t="str">
        <f t="shared" ca="1" si="1"/>
        <v/>
      </c>
      <c r="B80" s="12"/>
      <c r="C80" s="4"/>
      <c r="E80" s="2"/>
    </row>
    <row r="81" spans="1:5">
      <c r="A81" s="8" t="str">
        <f t="shared" ca="1" si="1"/>
        <v/>
      </c>
      <c r="B81" s="12"/>
      <c r="C81" s="4"/>
      <c r="E81" s="2"/>
    </row>
    <row r="82" spans="1:5">
      <c r="A82" s="8" t="str">
        <f t="shared" ca="1" si="1"/>
        <v/>
      </c>
      <c r="B82" s="12"/>
      <c r="C82" s="4"/>
      <c r="E82" s="2"/>
    </row>
    <row r="83" spans="1:5">
      <c r="A83" s="8" t="str">
        <f t="shared" ca="1" si="1"/>
        <v/>
      </c>
      <c r="B83" s="12"/>
      <c r="C83" s="4"/>
      <c r="E83" s="2"/>
    </row>
    <row r="84" spans="1:5">
      <c r="A84" s="8" t="str">
        <f t="shared" ca="1" si="1"/>
        <v/>
      </c>
      <c r="B84" s="12"/>
      <c r="C84" s="4"/>
      <c r="E84" s="2"/>
    </row>
    <row r="85" spans="1:5">
      <c r="A85" s="8" t="str">
        <f t="shared" ca="1" si="1"/>
        <v/>
      </c>
      <c r="B85" s="12"/>
      <c r="C85" s="4"/>
      <c r="E85" s="2"/>
    </row>
    <row r="86" spans="1:5">
      <c r="A86" s="8" t="str">
        <f t="shared" ca="1" si="1"/>
        <v/>
      </c>
      <c r="B86" s="12"/>
      <c r="C86" s="4"/>
      <c r="E86" s="2"/>
    </row>
    <row r="87" spans="1:5">
      <c r="A87" s="8" t="str">
        <f t="shared" ca="1" si="1"/>
        <v/>
      </c>
      <c r="B87" s="12"/>
      <c r="C87" s="4"/>
      <c r="E87" s="2"/>
    </row>
    <row r="88" spans="1:5">
      <c r="A88" s="8" t="str">
        <f t="shared" ca="1" si="1"/>
        <v/>
      </c>
      <c r="B88" s="12"/>
      <c r="C88" s="4"/>
      <c r="E88" s="2"/>
    </row>
    <row r="89" spans="1:5">
      <c r="A89" s="8" t="str">
        <f t="shared" ca="1" si="1"/>
        <v/>
      </c>
      <c r="B89" s="12"/>
      <c r="C89" s="4"/>
      <c r="E89" s="2"/>
    </row>
    <row r="90" spans="1:5">
      <c r="A90" s="8" t="str">
        <f t="shared" ca="1" si="1"/>
        <v/>
      </c>
      <c r="B90" s="12"/>
      <c r="C90" s="4"/>
      <c r="E90" s="2"/>
    </row>
    <row r="91" spans="1:5">
      <c r="A91" s="8" t="str">
        <f t="shared" ca="1" si="1"/>
        <v/>
      </c>
      <c r="B91" s="12"/>
      <c r="C91" s="4"/>
      <c r="E91" s="2"/>
    </row>
    <row r="92" spans="1:5">
      <c r="A92" s="8" t="str">
        <f t="shared" ca="1" si="1"/>
        <v/>
      </c>
      <c r="B92" s="12"/>
      <c r="C92" s="4"/>
      <c r="E92" s="2"/>
    </row>
    <row r="93" spans="1:5">
      <c r="A93" s="8" t="str">
        <f t="shared" ca="1" si="1"/>
        <v/>
      </c>
      <c r="B93" s="12"/>
      <c r="C93" s="4"/>
      <c r="E93" s="2"/>
    </row>
    <row r="94" spans="1:5">
      <c r="A94" s="8" t="str">
        <f t="shared" ca="1" si="1"/>
        <v/>
      </c>
      <c r="B94" s="12"/>
      <c r="C94" s="4"/>
      <c r="E94" s="2"/>
    </row>
    <row r="95" spans="1:5">
      <c r="A95" s="8" t="str">
        <f t="shared" ca="1" si="1"/>
        <v/>
      </c>
      <c r="B95" s="12"/>
      <c r="C95" s="4"/>
      <c r="E95" s="2"/>
    </row>
    <row r="96" spans="1:5">
      <c r="A96" s="8" t="str">
        <f t="shared" ca="1" si="1"/>
        <v/>
      </c>
      <c r="B96" s="12"/>
      <c r="C96" s="4"/>
      <c r="E96" s="2"/>
    </row>
    <row r="97" spans="1:5">
      <c r="A97" s="8" t="str">
        <f t="shared" ca="1" si="1"/>
        <v/>
      </c>
      <c r="B97" s="12"/>
      <c r="C97" s="4"/>
      <c r="E97" s="2"/>
    </row>
    <row r="98" spans="1:5">
      <c r="A98" s="8" t="str">
        <f t="shared" ca="1" si="1"/>
        <v/>
      </c>
      <c r="B98" s="12"/>
      <c r="C98" s="4"/>
      <c r="E98" s="2"/>
    </row>
    <row r="99" spans="1:5">
      <c r="A99" s="8" t="str">
        <f t="shared" ca="1" si="1"/>
        <v/>
      </c>
      <c r="B99" s="12"/>
      <c r="C99" s="4"/>
      <c r="E99" s="2"/>
    </row>
    <row r="100" spans="1:5">
      <c r="A100" s="8" t="str">
        <f t="shared" ca="1" si="1"/>
        <v/>
      </c>
      <c r="B100" s="12"/>
      <c r="C100" s="4"/>
      <c r="E100" s="2"/>
    </row>
    <row r="101" spans="1:5">
      <c r="A101" s="8" t="str">
        <f t="shared" ca="1" si="1"/>
        <v/>
      </c>
      <c r="B101" s="12"/>
      <c r="C101" s="4"/>
      <c r="E101" s="2"/>
    </row>
    <row r="102" spans="1:5">
      <c r="A102" s="8" t="str">
        <f t="shared" ca="1" si="1"/>
        <v/>
      </c>
      <c r="B102" s="12"/>
      <c r="C102" s="4"/>
      <c r="E102" s="2"/>
    </row>
    <row r="103" spans="1:5">
      <c r="A103" s="8" t="str">
        <f t="shared" ca="1" si="1"/>
        <v/>
      </c>
      <c r="B103" s="12"/>
      <c r="C103" s="4"/>
      <c r="E103" s="2"/>
    </row>
    <row r="104" spans="1:5">
      <c r="A104" s="8" t="str">
        <f t="shared" ca="1" si="1"/>
        <v/>
      </c>
      <c r="B104" s="12"/>
      <c r="C104" s="4"/>
      <c r="E104" s="2"/>
    </row>
    <row r="105" spans="1:5">
      <c r="A105" s="8" t="str">
        <f t="shared" ca="1" si="1"/>
        <v/>
      </c>
      <c r="B105" s="12"/>
      <c r="C105" s="4"/>
      <c r="E105" s="2"/>
    </row>
    <row r="106" spans="1:5">
      <c r="A106" s="8" t="str">
        <f t="shared" ca="1" si="1"/>
        <v/>
      </c>
      <c r="B106" s="12"/>
      <c r="C106" s="4"/>
      <c r="E106" s="2"/>
    </row>
    <row r="107" spans="1:5">
      <c r="A107" s="8" t="str">
        <f t="shared" ca="1" si="1"/>
        <v/>
      </c>
      <c r="B107" s="12"/>
      <c r="C107" s="4"/>
      <c r="E107" s="2"/>
    </row>
    <row r="108" spans="1:5">
      <c r="A108" s="8" t="str">
        <f t="shared" ca="1" si="1"/>
        <v/>
      </c>
      <c r="B108" s="12"/>
      <c r="C108" s="4"/>
      <c r="E108" s="2"/>
    </row>
    <row r="109" spans="1:5">
      <c r="A109" s="8" t="str">
        <f t="shared" ca="1" si="1"/>
        <v/>
      </c>
      <c r="B109" s="12"/>
      <c r="C109" s="4"/>
      <c r="E109" s="2"/>
    </row>
    <row r="110" spans="1:5">
      <c r="A110" s="8" t="str">
        <f t="shared" ca="1" si="1"/>
        <v/>
      </c>
      <c r="B110" s="12"/>
      <c r="C110" s="4"/>
      <c r="E110" s="2"/>
    </row>
    <row r="111" spans="1:5">
      <c r="A111" s="8" t="str">
        <f t="shared" ca="1" si="1"/>
        <v/>
      </c>
      <c r="B111" s="12"/>
      <c r="C111" s="4"/>
      <c r="E111" s="2"/>
    </row>
    <row r="112" spans="1:5">
      <c r="A112" s="8" t="str">
        <f t="shared" ca="1" si="1"/>
        <v/>
      </c>
      <c r="B112" s="12"/>
      <c r="C112" s="4"/>
      <c r="E112" s="2"/>
    </row>
    <row r="113" spans="1:5">
      <c r="A113" s="8" t="str">
        <f t="shared" ca="1" si="1"/>
        <v/>
      </c>
      <c r="B113" s="12"/>
      <c r="C113" s="4"/>
      <c r="E113" s="2"/>
    </row>
    <row r="114" spans="1:5">
      <c r="A114" s="8" t="str">
        <f t="shared" ca="1" si="1"/>
        <v/>
      </c>
      <c r="B114" s="12"/>
      <c r="C114" s="4"/>
      <c r="E114" s="2"/>
    </row>
    <row r="115" spans="1:5">
      <c r="A115" s="8" t="str">
        <f t="shared" ca="1" si="1"/>
        <v/>
      </c>
      <c r="B115" s="12"/>
      <c r="C115" s="4"/>
      <c r="E115" s="2"/>
    </row>
    <row r="116" spans="1:5">
      <c r="A116" s="8" t="str">
        <f t="shared" ca="1" si="1"/>
        <v/>
      </c>
      <c r="B116" s="12"/>
      <c r="C116" s="4"/>
      <c r="E116" s="2"/>
    </row>
    <row r="117" spans="1:5">
      <c r="A117" s="8" t="str">
        <f t="shared" ca="1" si="1"/>
        <v/>
      </c>
      <c r="B117" s="12"/>
      <c r="C117" s="4"/>
      <c r="E117" s="2"/>
    </row>
    <row r="118" spans="1:5">
      <c r="A118" s="8" t="str">
        <f t="shared" ca="1" si="1"/>
        <v/>
      </c>
      <c r="B118" s="12"/>
      <c r="C118" s="4"/>
      <c r="E118" s="2"/>
    </row>
    <row r="119" spans="1:5">
      <c r="A119" s="8" t="str">
        <f t="shared" ca="1" si="1"/>
        <v/>
      </c>
      <c r="B119" s="12"/>
      <c r="C119" s="4"/>
      <c r="E119" s="2"/>
    </row>
    <row r="120" spans="1:5">
      <c r="A120" s="8" t="str">
        <f t="shared" ca="1" si="1"/>
        <v/>
      </c>
      <c r="B120" s="12"/>
      <c r="C120" s="4"/>
      <c r="E120" s="2"/>
    </row>
    <row r="121" spans="1:5">
      <c r="A121" s="8" t="str">
        <f t="shared" ca="1" si="1"/>
        <v/>
      </c>
      <c r="B121" s="12"/>
      <c r="C121" s="4"/>
      <c r="E121" s="2"/>
    </row>
    <row r="122" spans="1:5">
      <c r="A122" s="8" t="str">
        <f t="shared" ca="1" si="1"/>
        <v/>
      </c>
      <c r="B122" s="12"/>
      <c r="C122" s="4"/>
      <c r="E122" s="2"/>
    </row>
    <row r="123" spans="1:5">
      <c r="A123" s="8" t="str">
        <f t="shared" ca="1" si="1"/>
        <v/>
      </c>
      <c r="B123" s="12"/>
      <c r="C123" s="4"/>
      <c r="E123" s="2"/>
    </row>
    <row r="124" spans="1:5">
      <c r="A124" s="8" t="str">
        <f t="shared" ca="1" si="1"/>
        <v/>
      </c>
      <c r="B124" s="12"/>
      <c r="C124" s="4"/>
      <c r="E124" s="2"/>
    </row>
    <row r="125" spans="1:5">
      <c r="A125" s="8" t="str">
        <f t="shared" ca="1" si="1"/>
        <v/>
      </c>
      <c r="B125" s="12"/>
      <c r="C125" s="4"/>
      <c r="E125" s="2"/>
    </row>
    <row r="126" spans="1:5">
      <c r="A126" s="8" t="str">
        <f t="shared" ca="1" si="1"/>
        <v/>
      </c>
      <c r="B126" s="12"/>
      <c r="C126" s="4"/>
      <c r="E126" s="2"/>
    </row>
    <row r="127" spans="1:5">
      <c r="A127" s="8" t="str">
        <f t="shared" ca="1" si="1"/>
        <v/>
      </c>
      <c r="B127" s="12"/>
      <c r="C127" s="4"/>
      <c r="E127" s="2"/>
    </row>
    <row r="128" spans="1:5">
      <c r="A128" s="8" t="str">
        <f t="shared" ca="1" si="1"/>
        <v/>
      </c>
      <c r="B128" s="12"/>
      <c r="C128" s="4"/>
      <c r="E128" s="2"/>
    </row>
    <row r="129" spans="1:5">
      <c r="A129" s="8" t="str">
        <f t="shared" ca="1" si="1"/>
        <v/>
      </c>
      <c r="B129" s="12"/>
      <c r="C129" s="4"/>
      <c r="E129" s="2"/>
    </row>
    <row r="130" spans="1:5">
      <c r="A130" s="8" t="str">
        <f t="shared" ref="A130:A193" ca="1" si="2">IF(B130="","",IF(A130="",TODAY(),A130))</f>
        <v/>
      </c>
      <c r="B130" s="12"/>
      <c r="C130" s="4"/>
      <c r="E130" s="2"/>
    </row>
    <row r="131" spans="1:5">
      <c r="A131" s="8" t="str">
        <f t="shared" ca="1" si="2"/>
        <v/>
      </c>
      <c r="B131" s="12"/>
      <c r="C131" s="4"/>
      <c r="E131" s="2"/>
    </row>
    <row r="132" spans="1:5">
      <c r="A132" s="8" t="str">
        <f t="shared" ca="1" si="2"/>
        <v/>
      </c>
      <c r="B132" s="12"/>
      <c r="C132" s="4"/>
      <c r="E132" s="2"/>
    </row>
    <row r="133" spans="1:5">
      <c r="A133" s="8" t="str">
        <f t="shared" ca="1" si="2"/>
        <v/>
      </c>
      <c r="B133" s="12"/>
      <c r="C133" s="4"/>
      <c r="E133" s="2"/>
    </row>
    <row r="134" spans="1:5">
      <c r="A134" s="8" t="str">
        <f t="shared" ca="1" si="2"/>
        <v/>
      </c>
      <c r="B134" s="12"/>
      <c r="C134" s="4"/>
      <c r="E134" s="2"/>
    </row>
    <row r="135" spans="1:5">
      <c r="A135" s="8" t="str">
        <f t="shared" ca="1" si="2"/>
        <v/>
      </c>
      <c r="B135" s="12"/>
      <c r="C135" s="4"/>
      <c r="E135" s="2"/>
    </row>
    <row r="136" spans="1:5">
      <c r="A136" s="8" t="str">
        <f t="shared" ca="1" si="2"/>
        <v/>
      </c>
      <c r="B136" s="12"/>
      <c r="C136" s="4"/>
      <c r="E136" s="2"/>
    </row>
    <row r="137" spans="1:5">
      <c r="A137" s="8" t="str">
        <f t="shared" ca="1" si="2"/>
        <v/>
      </c>
      <c r="B137" s="12"/>
      <c r="C137" s="4"/>
      <c r="E137" s="2"/>
    </row>
    <row r="138" spans="1:5">
      <c r="A138" s="8" t="str">
        <f t="shared" ca="1" si="2"/>
        <v/>
      </c>
      <c r="B138" s="12"/>
      <c r="C138" s="4"/>
      <c r="E138" s="2"/>
    </row>
    <row r="139" spans="1:5">
      <c r="A139" s="8" t="str">
        <f t="shared" ca="1" si="2"/>
        <v/>
      </c>
      <c r="B139" s="12"/>
      <c r="C139" s="4"/>
      <c r="E139" s="2"/>
    </row>
    <row r="140" spans="1:5">
      <c r="A140" s="8" t="str">
        <f t="shared" ca="1" si="2"/>
        <v/>
      </c>
      <c r="B140" s="12"/>
      <c r="C140" s="4"/>
      <c r="E140" s="2"/>
    </row>
    <row r="141" spans="1:5">
      <c r="A141" s="8" t="str">
        <f t="shared" ca="1" si="2"/>
        <v/>
      </c>
      <c r="B141" s="12"/>
      <c r="C141" s="4"/>
      <c r="E141" s="2"/>
    </row>
    <row r="142" spans="1:5">
      <c r="A142" s="8" t="str">
        <f t="shared" ca="1" si="2"/>
        <v/>
      </c>
      <c r="B142" s="12"/>
      <c r="C142" s="4"/>
      <c r="E142" s="2"/>
    </row>
    <row r="143" spans="1:5">
      <c r="A143" s="8" t="str">
        <f t="shared" ca="1" si="2"/>
        <v/>
      </c>
      <c r="B143" s="12"/>
      <c r="C143" s="4"/>
      <c r="E143" s="2"/>
    </row>
    <row r="144" spans="1:5">
      <c r="A144" s="8" t="str">
        <f t="shared" ca="1" si="2"/>
        <v/>
      </c>
      <c r="B144" s="12"/>
      <c r="C144" s="4"/>
      <c r="E144" s="2"/>
    </row>
    <row r="145" spans="1:5">
      <c r="A145" s="8" t="str">
        <f t="shared" ca="1" si="2"/>
        <v/>
      </c>
      <c r="B145" s="12"/>
      <c r="C145" s="4"/>
      <c r="E145" s="2"/>
    </row>
    <row r="146" spans="1:5">
      <c r="A146" s="8" t="str">
        <f t="shared" ca="1" si="2"/>
        <v/>
      </c>
      <c r="B146" s="12"/>
      <c r="C146" s="4"/>
      <c r="E146" s="2"/>
    </row>
    <row r="147" spans="1:5">
      <c r="A147" s="8" t="str">
        <f t="shared" ca="1" si="2"/>
        <v/>
      </c>
      <c r="B147" s="12"/>
      <c r="C147" s="4"/>
      <c r="E147" s="2"/>
    </row>
    <row r="148" spans="1:5">
      <c r="A148" s="8" t="str">
        <f t="shared" ca="1" si="2"/>
        <v/>
      </c>
      <c r="B148" s="12"/>
      <c r="C148" s="4"/>
      <c r="E148" s="2"/>
    </row>
    <row r="149" spans="1:5">
      <c r="A149" s="8" t="str">
        <f t="shared" ca="1" si="2"/>
        <v/>
      </c>
      <c r="B149" s="12"/>
      <c r="C149" s="4"/>
      <c r="E149" s="2"/>
    </row>
    <row r="150" spans="1:5">
      <c r="A150" s="8" t="str">
        <f t="shared" ca="1" si="2"/>
        <v/>
      </c>
      <c r="B150" s="12"/>
      <c r="C150" s="4"/>
      <c r="E150" s="2"/>
    </row>
    <row r="151" spans="1:5">
      <c r="A151" s="8" t="str">
        <f t="shared" ca="1" si="2"/>
        <v/>
      </c>
      <c r="B151" s="12"/>
      <c r="C151" s="4"/>
      <c r="E151" s="2"/>
    </row>
    <row r="152" spans="1:5">
      <c r="A152" s="8" t="str">
        <f t="shared" ca="1" si="2"/>
        <v/>
      </c>
      <c r="B152" s="12"/>
      <c r="C152" s="4"/>
      <c r="E152" s="2"/>
    </row>
    <row r="153" spans="1:5">
      <c r="A153" s="8" t="str">
        <f t="shared" ca="1" si="2"/>
        <v/>
      </c>
      <c r="B153" s="12"/>
      <c r="C153" s="4"/>
      <c r="E153" s="2"/>
    </row>
    <row r="154" spans="1:5">
      <c r="A154" s="8" t="str">
        <f t="shared" ca="1" si="2"/>
        <v/>
      </c>
      <c r="B154" s="12"/>
      <c r="C154" s="4"/>
      <c r="E154" s="2"/>
    </row>
    <row r="155" spans="1:5">
      <c r="A155" s="8" t="str">
        <f t="shared" ca="1" si="2"/>
        <v/>
      </c>
      <c r="B155" s="12"/>
      <c r="C155" s="4"/>
      <c r="E155" s="2"/>
    </row>
    <row r="156" spans="1:5">
      <c r="A156" s="8" t="str">
        <f t="shared" ca="1" si="2"/>
        <v/>
      </c>
      <c r="B156" s="12"/>
      <c r="C156" s="4"/>
      <c r="E156" s="2"/>
    </row>
    <row r="157" spans="1:5">
      <c r="A157" s="8" t="str">
        <f t="shared" ca="1" si="2"/>
        <v/>
      </c>
      <c r="B157" s="12"/>
      <c r="C157" s="4"/>
      <c r="E157" s="2"/>
    </row>
    <row r="158" spans="1:5">
      <c r="A158" s="8" t="str">
        <f t="shared" ca="1" si="2"/>
        <v/>
      </c>
      <c r="B158" s="12"/>
      <c r="C158" s="4"/>
      <c r="E158" s="2"/>
    </row>
    <row r="159" spans="1:5">
      <c r="A159" s="8" t="str">
        <f t="shared" ca="1" si="2"/>
        <v/>
      </c>
      <c r="B159" s="12"/>
      <c r="C159" s="4"/>
      <c r="E159" s="2"/>
    </row>
    <row r="160" spans="1:5">
      <c r="A160" s="8" t="str">
        <f t="shared" ca="1" si="2"/>
        <v/>
      </c>
      <c r="B160" s="12"/>
      <c r="C160" s="4"/>
      <c r="E160" s="2"/>
    </row>
    <row r="161" spans="1:5">
      <c r="A161" s="8" t="str">
        <f t="shared" ca="1" si="2"/>
        <v/>
      </c>
      <c r="B161" s="12"/>
      <c r="C161" s="4"/>
      <c r="E161" s="2"/>
    </row>
    <row r="162" spans="1:5">
      <c r="A162" s="8" t="str">
        <f t="shared" ca="1" si="2"/>
        <v/>
      </c>
      <c r="B162" s="12"/>
      <c r="C162" s="4"/>
      <c r="E162" s="2"/>
    </row>
    <row r="163" spans="1:5">
      <c r="A163" s="8" t="str">
        <f t="shared" ca="1" si="2"/>
        <v/>
      </c>
      <c r="B163" s="12"/>
      <c r="C163" s="4"/>
      <c r="E163" s="2"/>
    </row>
    <row r="164" spans="1:5">
      <c r="A164" s="8" t="str">
        <f t="shared" ca="1" si="2"/>
        <v/>
      </c>
      <c r="B164" s="12"/>
      <c r="C164" s="4"/>
      <c r="E164" s="2"/>
    </row>
    <row r="165" spans="1:5">
      <c r="A165" s="8" t="str">
        <f t="shared" ca="1" si="2"/>
        <v/>
      </c>
      <c r="B165" s="12"/>
      <c r="C165" s="4"/>
      <c r="E165" s="2"/>
    </row>
    <row r="166" spans="1:5">
      <c r="A166" s="8" t="str">
        <f t="shared" ca="1" si="2"/>
        <v/>
      </c>
      <c r="B166" s="12"/>
      <c r="C166" s="4"/>
      <c r="E166" s="2"/>
    </row>
    <row r="167" spans="1:5">
      <c r="A167" s="8" t="str">
        <f t="shared" ca="1" si="2"/>
        <v/>
      </c>
      <c r="B167" s="12"/>
      <c r="C167" s="4"/>
      <c r="E167" s="2"/>
    </row>
    <row r="168" spans="1:5">
      <c r="A168" s="8" t="str">
        <f t="shared" ca="1" si="2"/>
        <v/>
      </c>
      <c r="B168" s="12"/>
      <c r="C168" s="4"/>
      <c r="E168" s="2"/>
    </row>
    <row r="169" spans="1:5">
      <c r="A169" s="8" t="str">
        <f t="shared" ca="1" si="2"/>
        <v/>
      </c>
      <c r="B169" s="12"/>
      <c r="C169" s="4"/>
      <c r="E169" s="2"/>
    </row>
    <row r="170" spans="1:5">
      <c r="A170" s="8" t="str">
        <f t="shared" ca="1" si="2"/>
        <v/>
      </c>
      <c r="B170" s="12"/>
      <c r="C170" s="4"/>
      <c r="E170" s="2"/>
    </row>
    <row r="171" spans="1:5">
      <c r="A171" s="8" t="str">
        <f t="shared" ca="1" si="2"/>
        <v/>
      </c>
      <c r="B171" s="12"/>
      <c r="C171" s="4"/>
      <c r="E171" s="2"/>
    </row>
    <row r="172" spans="1:5">
      <c r="A172" s="8" t="str">
        <f t="shared" ca="1" si="2"/>
        <v/>
      </c>
      <c r="B172" s="12"/>
      <c r="C172" s="4"/>
      <c r="E172" s="2"/>
    </row>
    <row r="173" spans="1:5">
      <c r="A173" s="8" t="str">
        <f t="shared" ca="1" si="2"/>
        <v/>
      </c>
      <c r="B173" s="12"/>
      <c r="C173" s="4"/>
      <c r="E173" s="2"/>
    </row>
    <row r="174" spans="1:5">
      <c r="A174" s="8" t="str">
        <f t="shared" ca="1" si="2"/>
        <v/>
      </c>
      <c r="B174" s="12"/>
      <c r="C174" s="4"/>
      <c r="E174" s="2"/>
    </row>
    <row r="175" spans="1:5">
      <c r="A175" s="8" t="str">
        <f t="shared" ca="1" si="2"/>
        <v/>
      </c>
      <c r="B175" s="12"/>
      <c r="C175" s="4"/>
      <c r="E175" s="2"/>
    </row>
    <row r="176" spans="1:5">
      <c r="A176" s="8" t="str">
        <f t="shared" ca="1" si="2"/>
        <v/>
      </c>
      <c r="B176" s="12"/>
      <c r="C176" s="4"/>
      <c r="E176" s="2"/>
    </row>
    <row r="177" spans="1:5">
      <c r="A177" s="8" t="str">
        <f t="shared" ca="1" si="2"/>
        <v/>
      </c>
      <c r="B177" s="12"/>
      <c r="C177" s="4"/>
      <c r="E177" s="2"/>
    </row>
    <row r="178" spans="1:5">
      <c r="A178" s="8" t="str">
        <f t="shared" ca="1" si="2"/>
        <v/>
      </c>
      <c r="B178" s="12"/>
      <c r="C178" s="4"/>
      <c r="E178" s="2"/>
    </row>
    <row r="179" spans="1:5">
      <c r="A179" s="8" t="str">
        <f t="shared" ca="1" si="2"/>
        <v/>
      </c>
      <c r="B179" s="12"/>
      <c r="C179" s="4"/>
      <c r="E179" s="2"/>
    </row>
    <row r="180" spans="1:5">
      <c r="A180" s="8" t="str">
        <f t="shared" ca="1" si="2"/>
        <v/>
      </c>
      <c r="B180" s="12"/>
      <c r="C180" s="4"/>
      <c r="E180" s="2"/>
    </row>
    <row r="181" spans="1:5">
      <c r="A181" s="8" t="str">
        <f t="shared" ca="1" si="2"/>
        <v/>
      </c>
      <c r="B181" s="12"/>
      <c r="C181" s="4"/>
      <c r="E181" s="2"/>
    </row>
    <row r="182" spans="1:5">
      <c r="A182" s="8" t="str">
        <f t="shared" ca="1" si="2"/>
        <v/>
      </c>
      <c r="B182" s="12"/>
      <c r="C182" s="4"/>
      <c r="E182" s="2"/>
    </row>
    <row r="183" spans="1:5">
      <c r="A183" s="8" t="str">
        <f t="shared" ca="1" si="2"/>
        <v/>
      </c>
      <c r="B183" s="12"/>
      <c r="C183" s="4"/>
      <c r="E183" s="2"/>
    </row>
    <row r="184" spans="1:5">
      <c r="A184" s="8" t="str">
        <f t="shared" ca="1" si="2"/>
        <v/>
      </c>
      <c r="B184" s="12"/>
      <c r="C184" s="4"/>
      <c r="E184" s="2"/>
    </row>
    <row r="185" spans="1:5">
      <c r="A185" s="8" t="str">
        <f t="shared" ca="1" si="2"/>
        <v/>
      </c>
      <c r="B185" s="12"/>
      <c r="C185" s="4"/>
      <c r="E185" s="2"/>
    </row>
    <row r="186" spans="1:5">
      <c r="A186" s="8" t="str">
        <f t="shared" ca="1" si="2"/>
        <v/>
      </c>
      <c r="B186" s="12"/>
      <c r="C186" s="4"/>
      <c r="E186" s="2"/>
    </row>
    <row r="187" spans="1:5">
      <c r="A187" s="8" t="str">
        <f t="shared" ca="1" si="2"/>
        <v/>
      </c>
      <c r="B187" s="12"/>
      <c r="C187" s="4"/>
      <c r="E187" s="2"/>
    </row>
    <row r="188" spans="1:5">
      <c r="A188" s="8" t="str">
        <f t="shared" ca="1" si="2"/>
        <v/>
      </c>
      <c r="B188" s="12"/>
      <c r="C188" s="4"/>
      <c r="E188" s="2"/>
    </row>
    <row r="189" spans="1:5">
      <c r="A189" s="8" t="str">
        <f t="shared" ca="1" si="2"/>
        <v/>
      </c>
      <c r="B189" s="12"/>
      <c r="C189" s="4"/>
      <c r="E189" s="2"/>
    </row>
    <row r="190" spans="1:5">
      <c r="A190" s="8" t="str">
        <f t="shared" ca="1" si="2"/>
        <v/>
      </c>
      <c r="B190" s="12"/>
      <c r="C190" s="4"/>
      <c r="E190" s="2"/>
    </row>
    <row r="191" spans="1:5">
      <c r="A191" s="8" t="str">
        <f t="shared" ca="1" si="2"/>
        <v/>
      </c>
      <c r="B191" s="12"/>
      <c r="C191" s="4"/>
      <c r="E191" s="2"/>
    </row>
    <row r="192" spans="1:5">
      <c r="A192" s="8" t="str">
        <f t="shared" ca="1" si="2"/>
        <v/>
      </c>
      <c r="B192" s="12"/>
      <c r="C192" s="4"/>
      <c r="E192" s="2"/>
    </row>
    <row r="193" spans="1:5">
      <c r="A193" s="8" t="str">
        <f t="shared" ca="1" si="2"/>
        <v/>
      </c>
      <c r="B193" s="12"/>
      <c r="C193" s="4"/>
      <c r="E193" s="2"/>
    </row>
    <row r="194" spans="1:5">
      <c r="A194" s="8" t="str">
        <f t="shared" ref="A194:A237" ca="1" si="3">IF(B194="","",IF(A194="",TODAY(),A194))</f>
        <v/>
      </c>
      <c r="B194" s="12"/>
      <c r="C194" s="4"/>
      <c r="E194" s="2"/>
    </row>
    <row r="195" spans="1:5">
      <c r="A195" s="8" t="str">
        <f t="shared" ca="1" si="3"/>
        <v/>
      </c>
      <c r="B195" s="12"/>
      <c r="C195" s="4"/>
      <c r="E195" s="2"/>
    </row>
    <row r="196" spans="1:5">
      <c r="A196" s="8" t="str">
        <f t="shared" ca="1" si="3"/>
        <v/>
      </c>
      <c r="B196" s="12"/>
      <c r="C196" s="4"/>
      <c r="E196" s="2"/>
    </row>
    <row r="197" spans="1:5">
      <c r="A197" s="8" t="str">
        <f t="shared" ca="1" si="3"/>
        <v/>
      </c>
      <c r="B197" s="12"/>
      <c r="C197" s="4"/>
      <c r="E197" s="2"/>
    </row>
    <row r="198" spans="1:5">
      <c r="A198" s="8" t="str">
        <f t="shared" ca="1" si="3"/>
        <v/>
      </c>
      <c r="B198" s="12"/>
      <c r="C198" s="4"/>
      <c r="E198" s="2"/>
    </row>
    <row r="199" spans="1:5">
      <c r="A199" s="8" t="str">
        <f t="shared" ca="1" si="3"/>
        <v/>
      </c>
      <c r="B199" s="12"/>
      <c r="C199" s="4"/>
      <c r="E199" s="2"/>
    </row>
    <row r="200" spans="1:5">
      <c r="A200" s="8" t="str">
        <f t="shared" ca="1" si="3"/>
        <v/>
      </c>
      <c r="B200" s="12"/>
      <c r="C200" s="4"/>
      <c r="E200" s="2"/>
    </row>
    <row r="201" spans="1:5">
      <c r="A201" s="8" t="str">
        <f t="shared" ca="1" si="3"/>
        <v/>
      </c>
      <c r="B201" s="12"/>
      <c r="C201" s="4"/>
      <c r="E201" s="2"/>
    </row>
    <row r="202" spans="1:5">
      <c r="A202" s="8" t="str">
        <f t="shared" ca="1" si="3"/>
        <v/>
      </c>
      <c r="B202" s="12"/>
      <c r="C202" s="4"/>
      <c r="E202" s="2"/>
    </row>
    <row r="203" spans="1:5">
      <c r="A203" s="8" t="str">
        <f t="shared" ca="1" si="3"/>
        <v/>
      </c>
      <c r="B203" s="12"/>
      <c r="C203" s="4"/>
      <c r="E203" s="2"/>
    </row>
    <row r="204" spans="1:5">
      <c r="A204" s="8" t="str">
        <f t="shared" ca="1" si="3"/>
        <v/>
      </c>
      <c r="B204" s="12"/>
      <c r="C204" s="4"/>
      <c r="E204" s="2"/>
    </row>
    <row r="205" spans="1:5">
      <c r="A205" s="8" t="str">
        <f t="shared" ca="1" si="3"/>
        <v/>
      </c>
      <c r="B205" s="12"/>
      <c r="C205" s="4"/>
      <c r="E205" s="2"/>
    </row>
    <row r="206" spans="1:5">
      <c r="A206" s="8" t="str">
        <f t="shared" ca="1" si="3"/>
        <v/>
      </c>
      <c r="B206" s="12"/>
      <c r="C206" s="4"/>
      <c r="E206" s="2"/>
    </row>
    <row r="207" spans="1:5">
      <c r="A207" s="8" t="str">
        <f t="shared" ca="1" si="3"/>
        <v/>
      </c>
      <c r="B207" s="12"/>
      <c r="C207" s="4"/>
      <c r="E207" s="2"/>
    </row>
    <row r="208" spans="1:5">
      <c r="A208" s="8" t="str">
        <f t="shared" ca="1" si="3"/>
        <v/>
      </c>
      <c r="B208" s="12"/>
      <c r="C208" s="4"/>
      <c r="E208" s="2"/>
    </row>
    <row r="209" spans="1:5">
      <c r="A209" s="8" t="str">
        <f t="shared" ca="1" si="3"/>
        <v/>
      </c>
      <c r="B209" s="12"/>
      <c r="C209" s="4"/>
      <c r="E209" s="2"/>
    </row>
    <row r="210" spans="1:5">
      <c r="A210" s="8" t="str">
        <f t="shared" ca="1" si="3"/>
        <v/>
      </c>
      <c r="B210" s="12"/>
      <c r="C210" s="4"/>
      <c r="E210" s="2"/>
    </row>
    <row r="211" spans="1:5">
      <c r="A211" s="8" t="str">
        <f t="shared" ca="1" si="3"/>
        <v/>
      </c>
      <c r="B211" s="12"/>
      <c r="C211" s="4"/>
      <c r="E211" s="2"/>
    </row>
    <row r="212" spans="1:5">
      <c r="A212" s="8" t="str">
        <f t="shared" ca="1" si="3"/>
        <v/>
      </c>
      <c r="B212" s="12"/>
      <c r="C212" s="4"/>
      <c r="E212" s="2"/>
    </row>
    <row r="213" spans="1:5">
      <c r="A213" s="8" t="str">
        <f t="shared" ca="1" si="3"/>
        <v/>
      </c>
      <c r="B213" s="12"/>
      <c r="C213" s="4"/>
      <c r="E213" s="2"/>
    </row>
    <row r="214" spans="1:5">
      <c r="A214" s="8" t="str">
        <f t="shared" ca="1" si="3"/>
        <v/>
      </c>
      <c r="B214" s="12"/>
      <c r="C214" s="4"/>
      <c r="E214" s="2"/>
    </row>
    <row r="215" spans="1:5">
      <c r="A215" s="8" t="str">
        <f t="shared" ca="1" si="3"/>
        <v/>
      </c>
      <c r="B215" s="12"/>
      <c r="C215" s="4"/>
      <c r="E215" s="2"/>
    </row>
    <row r="216" spans="1:5">
      <c r="A216" s="8" t="str">
        <f t="shared" ca="1" si="3"/>
        <v/>
      </c>
      <c r="B216" s="12"/>
      <c r="C216" s="4"/>
      <c r="E216" s="2"/>
    </row>
    <row r="217" spans="1:5">
      <c r="A217" s="8" t="str">
        <f t="shared" ca="1" si="3"/>
        <v/>
      </c>
      <c r="B217" s="12"/>
      <c r="C217" s="4"/>
      <c r="E217" s="2"/>
    </row>
    <row r="218" spans="1:5">
      <c r="A218" s="8" t="str">
        <f t="shared" ca="1" si="3"/>
        <v/>
      </c>
      <c r="B218" s="12"/>
      <c r="C218" s="4"/>
      <c r="E218" s="2"/>
    </row>
    <row r="219" spans="1:5">
      <c r="A219" s="8" t="str">
        <f t="shared" ca="1" si="3"/>
        <v/>
      </c>
      <c r="B219" s="12"/>
      <c r="C219" s="4"/>
      <c r="E219" s="2"/>
    </row>
    <row r="220" spans="1:5">
      <c r="A220" s="8" t="str">
        <f t="shared" ca="1" si="3"/>
        <v/>
      </c>
      <c r="B220" s="12"/>
      <c r="C220" s="4"/>
      <c r="E220" s="2"/>
    </row>
    <row r="221" spans="1:5">
      <c r="A221" s="8" t="str">
        <f t="shared" ca="1" si="3"/>
        <v/>
      </c>
      <c r="B221" s="12"/>
      <c r="C221" s="4"/>
      <c r="E221" s="2"/>
    </row>
    <row r="222" spans="1:5">
      <c r="A222" s="8" t="str">
        <f t="shared" ca="1" si="3"/>
        <v/>
      </c>
      <c r="B222" s="12"/>
      <c r="C222" s="4"/>
      <c r="E222" s="2"/>
    </row>
    <row r="223" spans="1:5">
      <c r="A223" s="8" t="str">
        <f t="shared" ca="1" si="3"/>
        <v/>
      </c>
      <c r="B223" s="12"/>
      <c r="C223" s="4"/>
      <c r="E223" s="2"/>
    </row>
    <row r="224" spans="1:5">
      <c r="A224" s="8" t="str">
        <f t="shared" ca="1" si="3"/>
        <v/>
      </c>
      <c r="B224" s="12"/>
      <c r="C224" s="4"/>
      <c r="E224" s="2"/>
    </row>
    <row r="225" spans="1:5">
      <c r="A225" s="8" t="str">
        <f t="shared" ca="1" si="3"/>
        <v/>
      </c>
      <c r="B225" s="12"/>
      <c r="C225" s="4"/>
      <c r="E225" s="2"/>
    </row>
    <row r="226" spans="1:5">
      <c r="A226" s="8" t="str">
        <f t="shared" ca="1" si="3"/>
        <v/>
      </c>
      <c r="B226" s="12"/>
      <c r="C226" s="4"/>
      <c r="E226" s="2"/>
    </row>
    <row r="227" spans="1:5">
      <c r="A227" s="8" t="str">
        <f t="shared" ca="1" si="3"/>
        <v/>
      </c>
      <c r="B227" s="12"/>
      <c r="C227" s="4"/>
      <c r="E227" s="2"/>
    </row>
    <row r="228" spans="1:5">
      <c r="A228" s="8" t="str">
        <f t="shared" ca="1" si="3"/>
        <v/>
      </c>
      <c r="B228" s="12"/>
      <c r="C228" s="4"/>
      <c r="E228" s="2"/>
    </row>
    <row r="229" spans="1:5">
      <c r="A229" s="8" t="str">
        <f t="shared" ca="1" si="3"/>
        <v/>
      </c>
      <c r="B229" s="12"/>
      <c r="C229" s="4"/>
      <c r="E229" s="2"/>
    </row>
    <row r="230" spans="1:5">
      <c r="A230" s="8" t="str">
        <f t="shared" ca="1" si="3"/>
        <v/>
      </c>
      <c r="B230" s="12"/>
      <c r="C230" s="4"/>
      <c r="E230" s="2"/>
    </row>
    <row r="231" spans="1:5">
      <c r="A231" s="8" t="str">
        <f t="shared" ca="1" si="3"/>
        <v/>
      </c>
      <c r="B231" s="12"/>
      <c r="C231" s="4"/>
      <c r="E231" s="2"/>
    </row>
    <row r="232" spans="1:5">
      <c r="A232" s="8" t="str">
        <f t="shared" ca="1" si="3"/>
        <v/>
      </c>
      <c r="B232" s="12"/>
      <c r="C232" s="4"/>
      <c r="E232" s="2"/>
    </row>
    <row r="233" spans="1:5">
      <c r="A233" s="8" t="str">
        <f t="shared" ca="1" si="3"/>
        <v/>
      </c>
      <c r="B233" s="12"/>
      <c r="C233" s="4"/>
      <c r="E233" s="2"/>
    </row>
    <row r="234" spans="1:5">
      <c r="A234" s="8" t="str">
        <f t="shared" ca="1" si="3"/>
        <v/>
      </c>
      <c r="B234" s="12"/>
      <c r="C234" s="4"/>
      <c r="E234" s="2"/>
    </row>
    <row r="235" spans="1:5">
      <c r="A235" s="8" t="str">
        <f t="shared" ca="1" si="3"/>
        <v/>
      </c>
      <c r="B235" s="12"/>
      <c r="C235" s="4"/>
      <c r="E235" s="2"/>
    </row>
    <row r="236" spans="1:5">
      <c r="A236" s="8" t="str">
        <f t="shared" ca="1" si="3"/>
        <v/>
      </c>
      <c r="B236" s="12"/>
      <c r="C236" s="4"/>
      <c r="E236" s="2"/>
    </row>
    <row r="237" spans="1:5">
      <c r="A237" s="8" t="str">
        <f t="shared" ca="1" si="3"/>
        <v/>
      </c>
      <c r="B237" s="12"/>
      <c r="C237" s="4"/>
      <c r="E237" s="2"/>
    </row>
    <row r="238" spans="1:5">
      <c r="A238" s="8"/>
      <c r="B238" s="12"/>
      <c r="C238" s="4"/>
      <c r="E238" s="2"/>
    </row>
    <row r="239" spans="1:5">
      <c r="A239" s="8"/>
      <c r="B239" s="12"/>
      <c r="C239" s="4"/>
      <c r="E239" s="2"/>
    </row>
    <row r="240" spans="1:5">
      <c r="A240" s="8"/>
      <c r="B240" s="12"/>
      <c r="C240" s="4"/>
      <c r="E240" s="2"/>
    </row>
    <row r="241" spans="1:5">
      <c r="A241" s="8"/>
      <c r="B241" s="12"/>
      <c r="C241" s="4"/>
      <c r="E241" s="2"/>
    </row>
    <row r="242" spans="1:5">
      <c r="A242" s="8"/>
      <c r="B242" s="12"/>
      <c r="C242" s="4"/>
      <c r="E242" s="2"/>
    </row>
    <row r="243" spans="1:5">
      <c r="A243" s="8"/>
      <c r="B243" s="12"/>
      <c r="C243" s="4"/>
      <c r="E243" s="2"/>
    </row>
    <row r="244" spans="1:5">
      <c r="A244" s="8"/>
      <c r="B244" s="12"/>
      <c r="C244" s="4"/>
      <c r="E244" s="2"/>
    </row>
    <row r="245" spans="1:5">
      <c r="A245" s="8"/>
      <c r="B245" s="12"/>
      <c r="C245" s="4"/>
      <c r="E245" s="2"/>
    </row>
    <row r="246" spans="1:5">
      <c r="A246" s="8"/>
      <c r="B246" s="12"/>
      <c r="C246" s="4"/>
      <c r="E246" s="2"/>
    </row>
    <row r="247" spans="1:5">
      <c r="A247" s="8"/>
      <c r="B247" s="12"/>
      <c r="C247" s="4"/>
      <c r="E247" s="2"/>
    </row>
    <row r="248" spans="1:5">
      <c r="A248" s="8"/>
      <c r="B248" s="12"/>
      <c r="C248" s="4"/>
      <c r="E248" s="2"/>
    </row>
    <row r="249" spans="1:5">
      <c r="A249" s="8"/>
      <c r="B249" s="12"/>
      <c r="C249" s="4"/>
      <c r="E249" s="2"/>
    </row>
    <row r="250" spans="1:5">
      <c r="A250" s="8"/>
      <c r="B250" s="12"/>
      <c r="C250" s="4"/>
      <c r="E250" s="2"/>
    </row>
    <row r="251" spans="1:5">
      <c r="A251" s="8"/>
      <c r="B251" s="12"/>
      <c r="C251" s="4"/>
      <c r="E251" s="2"/>
    </row>
    <row r="252" spans="1:5">
      <c r="A252" s="8"/>
      <c r="B252" s="12"/>
      <c r="C252" s="4"/>
      <c r="E252" s="2"/>
    </row>
    <row r="253" spans="1:5">
      <c r="A253" s="8"/>
      <c r="B253" s="12"/>
      <c r="C253" s="4"/>
      <c r="E253" s="2"/>
    </row>
    <row r="254" spans="1:5">
      <c r="A254" s="8"/>
      <c r="B254" s="12"/>
      <c r="C254" s="4"/>
      <c r="E254" s="2"/>
    </row>
    <row r="255" spans="1:5">
      <c r="A255" s="8"/>
      <c r="B255" s="12"/>
      <c r="C255" s="4"/>
      <c r="E255" s="2"/>
    </row>
    <row r="256" spans="1:5">
      <c r="A256" s="8"/>
      <c r="B256" s="12"/>
      <c r="C256" s="4"/>
      <c r="E256" s="2"/>
    </row>
    <row r="257" spans="1:5">
      <c r="A257" s="8"/>
      <c r="B257" s="12"/>
      <c r="C257" s="4"/>
      <c r="E257" s="2"/>
    </row>
    <row r="258" spans="1:5">
      <c r="A258" s="8"/>
      <c r="B258" s="12"/>
      <c r="C258" s="4"/>
      <c r="E258" s="2"/>
    </row>
    <row r="259" spans="1:5">
      <c r="A259" s="8"/>
      <c r="B259" s="12"/>
      <c r="C259" s="4"/>
      <c r="E259" s="2"/>
    </row>
    <row r="260" spans="1:5">
      <c r="A260" s="8"/>
      <c r="B260" s="12"/>
      <c r="C260" s="4"/>
      <c r="E260" s="2"/>
    </row>
    <row r="261" spans="1:5">
      <c r="A261" s="8"/>
      <c r="B261" s="12"/>
      <c r="C261" s="4"/>
      <c r="E261" s="2"/>
    </row>
    <row r="262" spans="1:5">
      <c r="A262" s="8"/>
      <c r="B262" s="12"/>
      <c r="C262" s="4"/>
      <c r="E262" s="2"/>
    </row>
    <row r="263" spans="1:5">
      <c r="A263" s="8"/>
      <c r="B263" s="12"/>
      <c r="C263" s="4"/>
      <c r="E263" s="2"/>
    </row>
    <row r="264" spans="1:5">
      <c r="A264" s="8"/>
      <c r="B264" s="12"/>
      <c r="C264" s="4"/>
      <c r="E264" s="2"/>
    </row>
    <row r="265" spans="1:5">
      <c r="A265" s="8"/>
      <c r="B265" s="12"/>
      <c r="C265" s="4"/>
      <c r="E265" s="2"/>
    </row>
    <row r="266" spans="1:5">
      <c r="A266" s="8"/>
      <c r="B266" s="12"/>
      <c r="C266" s="4"/>
      <c r="E266" s="2"/>
    </row>
    <row r="267" spans="1:5">
      <c r="A267" s="8"/>
      <c r="B267" s="12"/>
      <c r="C267" s="4"/>
      <c r="E267" s="2"/>
    </row>
    <row r="268" spans="1:5">
      <c r="A268" s="8"/>
      <c r="B268" s="12"/>
      <c r="C268" s="4"/>
      <c r="E268" s="2"/>
    </row>
    <row r="269" spans="1:5">
      <c r="A269" s="8"/>
      <c r="B269" s="12"/>
      <c r="C269" s="4"/>
      <c r="E269" s="2"/>
    </row>
    <row r="270" spans="1:5">
      <c r="A270" s="8"/>
      <c r="B270" s="12"/>
      <c r="C270" s="4"/>
      <c r="E270" s="2"/>
    </row>
    <row r="271" spans="1:5">
      <c r="A271" s="8"/>
      <c r="B271" s="12"/>
      <c r="C271" s="4"/>
      <c r="E271" s="2"/>
    </row>
    <row r="272" spans="1:5">
      <c r="A272" s="8"/>
      <c r="B272" s="12"/>
      <c r="C272" s="4"/>
      <c r="E272" s="2"/>
    </row>
    <row r="273" spans="1:5">
      <c r="A273" s="8"/>
      <c r="B273" s="12"/>
      <c r="C273" s="4"/>
      <c r="E273" s="2"/>
    </row>
    <row r="274" spans="1:5">
      <c r="A274" s="8"/>
      <c r="B274" s="12"/>
      <c r="C274" s="4"/>
      <c r="E274" s="2"/>
    </row>
    <row r="275" spans="1:5">
      <c r="A275" s="8"/>
      <c r="B275" s="12"/>
      <c r="C275" s="4"/>
      <c r="E275" s="2"/>
    </row>
    <row r="276" spans="1:5">
      <c r="A276" s="8"/>
      <c r="B276" s="12"/>
      <c r="C276" s="4"/>
      <c r="E276" s="2"/>
    </row>
    <row r="277" spans="1:5">
      <c r="A277" s="8"/>
      <c r="B277" s="12"/>
      <c r="C277" s="4"/>
      <c r="E277" s="2"/>
    </row>
    <row r="278" spans="1:5">
      <c r="A278" s="8"/>
      <c r="B278" s="12"/>
      <c r="C278" s="4"/>
      <c r="E278" s="2"/>
    </row>
    <row r="279" spans="1:5">
      <c r="A279" s="8"/>
      <c r="B279" s="12"/>
      <c r="C279" s="4"/>
      <c r="E279" s="2"/>
    </row>
    <row r="280" spans="1:5">
      <c r="A280" s="8"/>
      <c r="B280" s="12"/>
      <c r="C280" s="4"/>
      <c r="E280" s="2"/>
    </row>
    <row r="281" spans="1:5">
      <c r="A281" s="8"/>
      <c r="B281" s="12"/>
      <c r="C281" s="4"/>
      <c r="E281" s="2"/>
    </row>
    <row r="282" spans="1:5">
      <c r="A282" s="8"/>
      <c r="B282" s="12"/>
      <c r="C282" s="4"/>
      <c r="E282" s="2"/>
    </row>
    <row r="283" spans="1:5">
      <c r="A283" s="8"/>
      <c r="B283" s="12"/>
      <c r="C283" s="4"/>
      <c r="E283" s="2"/>
    </row>
    <row r="284" spans="1:5">
      <c r="A284" s="8"/>
      <c r="B284" s="12"/>
      <c r="C284" s="4"/>
      <c r="E284" s="2"/>
    </row>
    <row r="285" spans="1:5">
      <c r="A285" s="8"/>
      <c r="B285" s="12"/>
      <c r="C285" s="4"/>
      <c r="E285" s="2"/>
    </row>
    <row r="286" spans="1:5">
      <c r="A286" s="8"/>
      <c r="B286" s="12"/>
      <c r="C286" s="4"/>
      <c r="E286" s="2"/>
    </row>
    <row r="287" spans="1:5">
      <c r="A287" s="8"/>
      <c r="B287" s="12"/>
      <c r="C287" s="4"/>
      <c r="E287" s="2"/>
    </row>
    <row r="288" spans="1:5">
      <c r="A288" s="8"/>
      <c r="B288" s="12"/>
      <c r="C288" s="4"/>
      <c r="E288" s="2"/>
    </row>
    <row r="289" spans="1:5">
      <c r="A289" s="8"/>
      <c r="B289" s="12"/>
      <c r="C289" s="4"/>
      <c r="E289" s="2"/>
    </row>
    <row r="290" spans="1:5">
      <c r="A290" s="8"/>
      <c r="B290" s="12"/>
      <c r="C290" s="4"/>
      <c r="E290" s="2"/>
    </row>
    <row r="291" spans="1:5">
      <c r="A291" s="8"/>
      <c r="B291" s="12"/>
      <c r="C291" s="4"/>
      <c r="E291" s="2"/>
    </row>
    <row r="292" spans="1:5">
      <c r="A292" s="8"/>
      <c r="B292" s="12"/>
      <c r="C292" s="4"/>
      <c r="E292" s="2"/>
    </row>
    <row r="293" spans="1:5">
      <c r="A293" s="8"/>
      <c r="B293" s="12"/>
      <c r="C293" s="4"/>
      <c r="E293" s="2"/>
    </row>
    <row r="294" spans="1:5">
      <c r="A294" s="8"/>
      <c r="B294" s="12"/>
      <c r="C294" s="4"/>
      <c r="E294" s="2"/>
    </row>
    <row r="295" spans="1:5">
      <c r="A295" s="8"/>
      <c r="B295" s="12"/>
      <c r="C295" s="4"/>
      <c r="E295" s="2"/>
    </row>
    <row r="296" spans="1:5">
      <c r="A296" s="8"/>
      <c r="B296" s="12"/>
      <c r="C296" s="4"/>
      <c r="E296" s="2"/>
    </row>
    <row r="297" spans="1:5">
      <c r="A297" s="8"/>
      <c r="B297" s="12"/>
      <c r="C297" s="4"/>
      <c r="E297" s="2"/>
    </row>
    <row r="298" spans="1:5">
      <c r="A298" s="8"/>
      <c r="B298" s="12"/>
      <c r="C298" s="4"/>
      <c r="E298" s="2"/>
    </row>
    <row r="299" spans="1:5">
      <c r="A299" s="8"/>
      <c r="B299" s="12"/>
      <c r="C299" s="4"/>
      <c r="E299" s="2"/>
    </row>
    <row r="300" spans="1:5">
      <c r="A300" s="8"/>
      <c r="B300" s="12"/>
      <c r="C300" s="4"/>
      <c r="E300" s="2"/>
    </row>
    <row r="301" spans="1:5">
      <c r="A301" s="8"/>
      <c r="B301" s="12"/>
      <c r="C301" s="4"/>
      <c r="E301" s="2"/>
    </row>
    <row r="302" spans="1:5">
      <c r="A302" s="8"/>
      <c r="B302" s="12"/>
      <c r="C302" s="4"/>
      <c r="E302" s="2"/>
    </row>
    <row r="303" spans="1:5">
      <c r="A303" s="8"/>
      <c r="B303" s="12"/>
      <c r="C303" s="4"/>
      <c r="E303" s="2"/>
    </row>
    <row r="304" spans="1:5">
      <c r="A304" s="8"/>
      <c r="B304" s="12"/>
      <c r="C304" s="4"/>
      <c r="E304" s="2"/>
    </row>
    <row r="305" spans="1:5">
      <c r="A305" s="8"/>
      <c r="B305" s="12"/>
      <c r="C305" s="4"/>
      <c r="E305" s="2"/>
    </row>
    <row r="306" spans="1:5">
      <c r="A306" s="8"/>
      <c r="B306" s="12"/>
      <c r="C306" s="4"/>
      <c r="E306" s="2"/>
    </row>
    <row r="307" spans="1:5">
      <c r="A307" s="8"/>
      <c r="B307" s="12"/>
      <c r="C307" s="4"/>
      <c r="E307" s="2"/>
    </row>
    <row r="308" spans="1:5">
      <c r="A308" s="8"/>
      <c r="B308" s="12"/>
      <c r="C308" s="4"/>
      <c r="E308" s="2"/>
    </row>
    <row r="309" spans="1:5">
      <c r="A309" s="8"/>
      <c r="B309" s="12"/>
      <c r="C309" s="4"/>
      <c r="E309" s="2"/>
    </row>
    <row r="310" spans="1:5">
      <c r="A310" s="8"/>
      <c r="B310" s="12"/>
      <c r="C310" s="4"/>
      <c r="E310" s="2"/>
    </row>
    <row r="311" spans="1:5">
      <c r="A311" s="8"/>
      <c r="B311" s="12"/>
      <c r="C311" s="4"/>
      <c r="E311" s="2"/>
    </row>
    <row r="312" spans="1:5">
      <c r="A312" s="8"/>
      <c r="B312" s="12"/>
      <c r="C312" s="4"/>
      <c r="E312" s="2"/>
    </row>
    <row r="313" spans="1:5">
      <c r="A313" s="8"/>
      <c r="B313" s="12"/>
      <c r="C313" s="4"/>
      <c r="E313" s="2"/>
    </row>
    <row r="314" spans="1:5">
      <c r="A314" s="8"/>
      <c r="B314" s="12"/>
      <c r="C314" s="4"/>
      <c r="E314" s="2"/>
    </row>
    <row r="315" spans="1:5">
      <c r="A315" s="8"/>
      <c r="B315" s="12"/>
      <c r="C315" s="4"/>
      <c r="E315" s="2"/>
    </row>
    <row r="316" spans="1:5">
      <c r="A316" s="8"/>
      <c r="B316" s="12"/>
      <c r="C316" s="4"/>
      <c r="E316" s="2"/>
    </row>
    <row r="317" spans="1:5">
      <c r="A317" s="8"/>
      <c r="B317" s="12"/>
      <c r="C317" s="4"/>
      <c r="E317" s="2"/>
    </row>
    <row r="318" spans="1:5">
      <c r="A318" s="8"/>
      <c r="B318" s="12"/>
      <c r="C318" s="4"/>
      <c r="E318" s="2"/>
    </row>
    <row r="319" spans="1:5">
      <c r="A319" s="8"/>
      <c r="B319" s="12"/>
      <c r="C319" s="4"/>
      <c r="E319" s="2"/>
    </row>
    <row r="320" spans="1:5">
      <c r="A320" s="8"/>
      <c r="B320" s="12"/>
      <c r="C320" s="4"/>
      <c r="E320" s="2"/>
    </row>
    <row r="321" spans="1:5">
      <c r="A321" s="8"/>
      <c r="B321" s="12"/>
      <c r="C321" s="4"/>
      <c r="E321" s="2"/>
    </row>
    <row r="322" spans="1:5">
      <c r="A322" s="8"/>
      <c r="B322" s="12"/>
      <c r="C322" s="4"/>
      <c r="E322" s="2"/>
    </row>
    <row r="323" spans="1:5">
      <c r="A323" s="8"/>
      <c r="B323" s="12"/>
      <c r="C323" s="4"/>
      <c r="E323" s="2"/>
    </row>
    <row r="324" spans="1:5">
      <c r="A324" s="8"/>
      <c r="B324" s="12"/>
      <c r="C324" s="4"/>
      <c r="E324" s="2"/>
    </row>
    <row r="325" spans="1:5">
      <c r="A325" s="8"/>
      <c r="B325" s="12"/>
      <c r="C325" s="4"/>
      <c r="E325" s="2"/>
    </row>
    <row r="326" spans="1:5">
      <c r="A326" s="8"/>
      <c r="B326" s="12"/>
      <c r="C326" s="4"/>
      <c r="E326" s="2"/>
    </row>
    <row r="327" spans="1:5">
      <c r="A327" s="8"/>
      <c r="B327" s="12"/>
      <c r="C327" s="4"/>
      <c r="E327" s="2"/>
    </row>
    <row r="328" spans="1:5">
      <c r="A328" s="8"/>
      <c r="B328" s="12"/>
      <c r="C328" s="4"/>
      <c r="E328" s="2"/>
    </row>
    <row r="329" spans="1:5">
      <c r="A329" s="8"/>
      <c r="B329" s="12"/>
      <c r="C329" s="4"/>
      <c r="E329" s="2"/>
    </row>
    <row r="330" spans="1:5">
      <c r="A330" s="8"/>
      <c r="B330" s="12"/>
      <c r="C330" s="4"/>
      <c r="E330" s="2"/>
    </row>
    <row r="331" spans="1:5">
      <c r="A331" s="8"/>
      <c r="B331" s="12"/>
      <c r="C331" s="4"/>
      <c r="E331" s="2"/>
    </row>
    <row r="332" spans="1:5">
      <c r="A332" s="8"/>
      <c r="B332" s="12"/>
      <c r="C332" s="4"/>
      <c r="E332" s="2"/>
    </row>
    <row r="333" spans="1:5">
      <c r="A333" s="8"/>
      <c r="B333" s="12"/>
      <c r="C333" s="4"/>
      <c r="E333" s="2"/>
    </row>
    <row r="334" spans="1:5">
      <c r="A334" s="8"/>
      <c r="B334" s="12"/>
      <c r="C334" s="4"/>
      <c r="E334" s="2"/>
    </row>
    <row r="335" spans="1:5">
      <c r="A335" s="8"/>
      <c r="B335" s="12"/>
      <c r="C335" s="4"/>
      <c r="E335" s="2"/>
    </row>
    <row r="336" spans="1:5">
      <c r="A336" s="8"/>
      <c r="B336" s="12"/>
      <c r="C336" s="4"/>
      <c r="E336" s="2"/>
    </row>
    <row r="337" spans="1:5">
      <c r="A337" s="8"/>
      <c r="B337" s="12"/>
      <c r="C337" s="4"/>
      <c r="E337" s="2"/>
    </row>
    <row r="338" spans="1:5">
      <c r="A338" s="8"/>
      <c r="B338" s="12"/>
      <c r="C338" s="4"/>
      <c r="E338" s="2"/>
    </row>
    <row r="339" spans="1:5">
      <c r="A339" s="8"/>
      <c r="B339" s="12"/>
      <c r="C339" s="4"/>
      <c r="E339" s="2"/>
    </row>
    <row r="340" spans="1:5">
      <c r="A340" s="8"/>
      <c r="B340" s="12"/>
      <c r="C340" s="4"/>
      <c r="E340" s="2"/>
    </row>
    <row r="341" spans="1:5">
      <c r="A341" s="8"/>
      <c r="B341" s="12"/>
      <c r="C341" s="4"/>
      <c r="E341" s="2"/>
    </row>
    <row r="342" spans="1:5">
      <c r="A342" s="8"/>
      <c r="B342" s="12"/>
      <c r="C342" s="4"/>
      <c r="E342" s="2"/>
    </row>
    <row r="343" spans="1:5">
      <c r="A343" s="8"/>
      <c r="B343" s="12"/>
      <c r="C343" s="4"/>
      <c r="E343" s="2"/>
    </row>
    <row r="344" spans="1:5">
      <c r="A344" s="8"/>
      <c r="B344" s="12"/>
      <c r="C344" s="4"/>
      <c r="E344" s="2"/>
    </row>
    <row r="345" spans="1:5">
      <c r="A345" s="8"/>
      <c r="B345" s="12"/>
      <c r="C345" s="4"/>
      <c r="E345" s="2"/>
    </row>
    <row r="346" spans="1:5">
      <c r="A346" s="8"/>
      <c r="B346" s="12"/>
      <c r="C346" s="4"/>
      <c r="E346" s="2"/>
    </row>
    <row r="347" spans="1:5">
      <c r="A347" s="8"/>
      <c r="B347" s="12"/>
      <c r="C347" s="4"/>
      <c r="E347" s="2"/>
    </row>
    <row r="348" spans="1:5">
      <c r="A348" s="8"/>
      <c r="B348" s="12"/>
      <c r="C348" s="4"/>
      <c r="E348" s="2"/>
    </row>
    <row r="349" spans="1:5">
      <c r="A349" s="8"/>
      <c r="B349" s="12"/>
      <c r="C349" s="4"/>
      <c r="E349" s="2"/>
    </row>
    <row r="350" spans="1:5">
      <c r="A350" s="8"/>
      <c r="B350" s="12"/>
      <c r="C350" s="4"/>
      <c r="E350" s="2"/>
    </row>
    <row r="351" spans="1:5">
      <c r="A351" s="8"/>
      <c r="B351" s="12"/>
      <c r="C351" s="4"/>
      <c r="E351" s="2"/>
    </row>
    <row r="352" spans="1:5">
      <c r="A352" s="8"/>
      <c r="B352" s="12"/>
      <c r="C352" s="4"/>
      <c r="E352" s="2"/>
    </row>
    <row r="353" spans="1:5">
      <c r="A353" s="8"/>
      <c r="B353" s="12"/>
      <c r="C353" s="4"/>
      <c r="E353" s="2"/>
    </row>
    <row r="354" spans="1:5">
      <c r="A354" s="8"/>
      <c r="B354" s="12"/>
      <c r="C354" s="4"/>
      <c r="E354" s="2"/>
    </row>
    <row r="355" spans="1:5">
      <c r="A355" s="8"/>
      <c r="B355" s="12"/>
      <c r="C355" s="4"/>
      <c r="E355" s="2"/>
    </row>
    <row r="356" spans="1:5">
      <c r="A356" s="8"/>
      <c r="B356" s="12"/>
      <c r="C356" s="4"/>
      <c r="E356" s="2"/>
    </row>
    <row r="357" spans="1:5">
      <c r="A357" s="8"/>
      <c r="B357" s="12"/>
      <c r="C357" s="4"/>
      <c r="E357" s="2"/>
    </row>
    <row r="358" spans="1:5">
      <c r="A358" s="8"/>
      <c r="B358" s="12"/>
      <c r="C358" s="4"/>
      <c r="E358" s="2"/>
    </row>
    <row r="359" spans="1:5">
      <c r="A359" s="8"/>
      <c r="B359" s="12"/>
      <c r="C359" s="4"/>
      <c r="E359" s="2"/>
    </row>
    <row r="360" spans="1:5">
      <c r="A360" s="8"/>
      <c r="B360" s="12"/>
      <c r="C360" s="4"/>
      <c r="E360" s="2"/>
    </row>
    <row r="361" spans="1:5">
      <c r="A361" s="8"/>
      <c r="B361" s="12"/>
      <c r="C361" s="4"/>
      <c r="E361" s="2"/>
    </row>
    <row r="362" spans="1:5">
      <c r="A362" s="8"/>
      <c r="B362" s="12"/>
      <c r="C362" s="4"/>
      <c r="E362" s="2"/>
    </row>
    <row r="363" spans="1:5">
      <c r="A363" s="8"/>
      <c r="B363" s="12"/>
      <c r="C363" s="4"/>
      <c r="E363" s="2"/>
    </row>
    <row r="364" spans="1:5">
      <c r="A364" s="8"/>
      <c r="B364" s="12"/>
      <c r="C364" s="4"/>
      <c r="E364" s="2"/>
    </row>
    <row r="365" spans="1:5">
      <c r="A365" s="8"/>
      <c r="B365" s="12"/>
      <c r="C365" s="4"/>
      <c r="E365" s="2"/>
    </row>
    <row r="366" spans="1:5">
      <c r="A366" s="8"/>
      <c r="B366" s="12"/>
      <c r="C366" s="4"/>
      <c r="E366" s="2"/>
    </row>
    <row r="367" spans="1:5">
      <c r="A367" s="8"/>
      <c r="B367" s="12"/>
      <c r="C367" s="4"/>
      <c r="E367" s="2"/>
    </row>
    <row r="368" spans="1:5">
      <c r="A368" s="8"/>
      <c r="B368" s="12"/>
      <c r="C368" s="4"/>
      <c r="E368" s="2"/>
    </row>
    <row r="369" spans="1:5">
      <c r="A369" s="8"/>
      <c r="B369" s="12"/>
      <c r="C369" s="4"/>
      <c r="E369" s="2"/>
    </row>
    <row r="370" spans="1:5">
      <c r="A370" s="8"/>
      <c r="B370" s="12"/>
      <c r="C370" s="4"/>
      <c r="E370" s="2"/>
    </row>
    <row r="371" spans="1:5">
      <c r="A371" s="8"/>
      <c r="B371" s="12"/>
      <c r="C371" s="4"/>
      <c r="E371" s="2"/>
    </row>
    <row r="372" spans="1:5">
      <c r="A372" s="8"/>
      <c r="B372" s="12"/>
      <c r="C372" s="4"/>
      <c r="E372" s="2"/>
    </row>
    <row r="373" spans="1:5">
      <c r="A373" s="8"/>
      <c r="B373" s="12"/>
      <c r="C373" s="4"/>
      <c r="E373" s="2"/>
    </row>
    <row r="374" spans="1:5">
      <c r="A374" s="8"/>
      <c r="B374" s="12"/>
      <c r="C374" s="4"/>
      <c r="E374" s="2"/>
    </row>
    <row r="375" spans="1:5">
      <c r="A375" s="8"/>
      <c r="B375" s="12"/>
      <c r="C375" s="4"/>
      <c r="E375" s="2"/>
    </row>
    <row r="376" spans="1:5">
      <c r="A376" s="8"/>
      <c r="B376" s="12"/>
      <c r="C376" s="4"/>
      <c r="E376" s="2"/>
    </row>
    <row r="377" spans="1:5">
      <c r="A377" s="8"/>
      <c r="B377" s="12"/>
      <c r="C377" s="4"/>
      <c r="E377" s="2"/>
    </row>
    <row r="378" spans="1:5">
      <c r="A378" s="8"/>
      <c r="B378" s="12"/>
      <c r="C378" s="4"/>
      <c r="E378" s="2"/>
    </row>
    <row r="379" spans="1:5">
      <c r="A379" s="8"/>
      <c r="B379" s="12"/>
      <c r="C379" s="4"/>
      <c r="E379" s="2"/>
    </row>
    <row r="380" spans="1:5">
      <c r="A380" s="8"/>
      <c r="B380" s="12"/>
      <c r="C380" s="4"/>
      <c r="E380" s="2"/>
    </row>
    <row r="381" spans="1:5">
      <c r="A381" s="8"/>
      <c r="B381" s="12"/>
      <c r="C381" s="4"/>
      <c r="E381" s="2"/>
    </row>
    <row r="382" spans="1:5">
      <c r="A382" s="8"/>
      <c r="B382" s="12"/>
      <c r="C382" s="4"/>
      <c r="E382" s="2"/>
    </row>
    <row r="383" spans="1:5">
      <c r="A383" s="8"/>
      <c r="B383" s="12"/>
      <c r="C383" s="4"/>
      <c r="E383" s="2"/>
    </row>
    <row r="384" spans="1:5">
      <c r="A384" s="8"/>
      <c r="B384" s="12"/>
      <c r="C384" s="4"/>
      <c r="E384" s="2"/>
    </row>
    <row r="385" spans="1:5">
      <c r="A385" s="8"/>
      <c r="B385" s="12"/>
      <c r="C385" s="4"/>
      <c r="E385" s="2"/>
    </row>
    <row r="386" spans="1:5">
      <c r="A386" s="8"/>
      <c r="B386" s="12"/>
      <c r="C386" s="4"/>
      <c r="E386" s="2"/>
    </row>
    <row r="387" spans="1:5">
      <c r="A387" s="8"/>
      <c r="B387" s="12"/>
      <c r="C387" s="4"/>
      <c r="E387" s="2"/>
    </row>
    <row r="388" spans="1:5">
      <c r="A388" s="8"/>
      <c r="B388" s="12"/>
      <c r="C388" s="4"/>
      <c r="E388" s="2"/>
    </row>
    <row r="389" spans="1:5">
      <c r="A389" s="8"/>
      <c r="B389" s="12"/>
      <c r="C389" s="4"/>
      <c r="E389" s="2"/>
    </row>
    <row r="390" spans="1:5">
      <c r="A390" s="8"/>
      <c r="B390" s="12"/>
      <c r="C390" s="4"/>
      <c r="E390" s="2"/>
    </row>
    <row r="391" spans="1:5">
      <c r="A391" s="8"/>
      <c r="B391" s="12"/>
      <c r="C391" s="4"/>
      <c r="E391" s="2"/>
    </row>
    <row r="392" spans="1:5">
      <c r="A392" s="8"/>
      <c r="B392" s="12"/>
      <c r="C392" s="4"/>
      <c r="E392" s="2"/>
    </row>
    <row r="393" spans="1:5">
      <c r="A393" s="8"/>
      <c r="B393" s="12"/>
      <c r="C393" s="4"/>
      <c r="E393" s="2"/>
    </row>
    <row r="394" spans="1:5">
      <c r="A394" s="8"/>
      <c r="B394" s="12"/>
      <c r="C394" s="4"/>
      <c r="E394" s="2"/>
    </row>
    <row r="395" spans="1:5">
      <c r="A395" s="8"/>
      <c r="B395" s="12"/>
      <c r="C395" s="4"/>
      <c r="E395" s="2"/>
    </row>
    <row r="396" spans="1:5">
      <c r="A396" s="8"/>
      <c r="B396" s="12"/>
      <c r="C396" s="4"/>
      <c r="E396" s="2"/>
    </row>
    <row r="397" spans="1:5">
      <c r="A397" s="8"/>
      <c r="B397" s="12"/>
      <c r="C397" s="4"/>
      <c r="E397" s="2"/>
    </row>
    <row r="398" spans="1:5">
      <c r="A398" s="8"/>
      <c r="B398" s="12"/>
      <c r="C398" s="4"/>
      <c r="E398" s="2"/>
    </row>
    <row r="399" spans="1:5">
      <c r="A399" s="8"/>
      <c r="B399" s="12"/>
      <c r="C399" s="4"/>
      <c r="E399" s="2"/>
    </row>
    <row r="400" spans="1:5">
      <c r="A400" s="8"/>
      <c r="B400" s="12"/>
      <c r="C400" s="4"/>
      <c r="E400" s="2"/>
    </row>
    <row r="401" spans="1:5">
      <c r="A401" s="8"/>
      <c r="B401" s="12"/>
      <c r="C401" s="4"/>
      <c r="E401" s="2"/>
    </row>
    <row r="402" spans="1:5">
      <c r="A402" s="8"/>
      <c r="B402" s="12"/>
      <c r="C402" s="4"/>
      <c r="E402" s="2"/>
    </row>
    <row r="403" spans="1:5">
      <c r="A403" s="8"/>
      <c r="B403" s="12"/>
      <c r="C403" s="4"/>
      <c r="E403" s="2"/>
    </row>
    <row r="404" spans="1:5">
      <c r="A404" s="8"/>
      <c r="B404" s="12"/>
      <c r="C404" s="4"/>
      <c r="E404" s="2"/>
    </row>
    <row r="405" spans="1:5">
      <c r="A405" s="8"/>
      <c r="B405" s="12"/>
      <c r="C405" s="4"/>
      <c r="E405" s="2"/>
    </row>
    <row r="406" spans="1:5">
      <c r="A406" s="8"/>
      <c r="B406" s="12"/>
      <c r="C406" s="4"/>
      <c r="E406" s="2"/>
    </row>
    <row r="407" spans="1:5">
      <c r="A407" s="8"/>
      <c r="B407" s="12"/>
      <c r="C407" s="4"/>
      <c r="E407" s="2"/>
    </row>
    <row r="408" spans="1:5">
      <c r="A408" s="8"/>
      <c r="B408" s="12"/>
      <c r="C408" s="4"/>
      <c r="E408" s="2"/>
    </row>
    <row r="409" spans="1:5">
      <c r="A409" s="8"/>
      <c r="B409" s="12"/>
      <c r="C409" s="4"/>
      <c r="E409" s="2"/>
    </row>
    <row r="410" spans="1:5">
      <c r="A410" s="8"/>
      <c r="B410" s="12"/>
      <c r="C410" s="4"/>
      <c r="E410" s="2"/>
    </row>
    <row r="411" spans="1:5">
      <c r="A411" s="8"/>
      <c r="B411" s="12"/>
      <c r="C411" s="4"/>
      <c r="E411" s="2"/>
    </row>
    <row r="412" spans="1:5">
      <c r="A412" s="8"/>
      <c r="B412" s="12"/>
      <c r="C412" s="4"/>
      <c r="E412" s="2"/>
    </row>
    <row r="413" spans="1:5">
      <c r="A413" s="8"/>
      <c r="B413" s="12"/>
      <c r="C413" s="4"/>
      <c r="E413" s="2"/>
    </row>
    <row r="414" spans="1:5">
      <c r="A414" s="8"/>
      <c r="B414" s="12"/>
      <c r="C414" s="4"/>
      <c r="E414" s="2"/>
    </row>
    <row r="415" spans="1:5">
      <c r="A415" s="8"/>
      <c r="B415" s="12"/>
      <c r="C415" s="4"/>
      <c r="E415" s="2"/>
    </row>
    <row r="416" spans="1:5">
      <c r="A416" s="8"/>
      <c r="B416" s="12"/>
      <c r="C416" s="4"/>
      <c r="E416" s="2"/>
    </row>
    <row r="417" spans="1:5">
      <c r="A417" s="8"/>
      <c r="B417" s="12"/>
      <c r="C417" s="4"/>
      <c r="E417" s="2"/>
    </row>
    <row r="418" spans="1:5">
      <c r="A418" s="8"/>
      <c r="B418" s="12"/>
      <c r="C418" s="4"/>
      <c r="E418" s="2"/>
    </row>
    <row r="419" spans="1:5">
      <c r="A419" s="8"/>
      <c r="B419" s="12"/>
      <c r="C419" s="4"/>
      <c r="E419" s="2"/>
    </row>
    <row r="420" spans="1:5">
      <c r="A420" s="8"/>
      <c r="B420" s="12"/>
      <c r="C420" s="4"/>
      <c r="E420" s="2"/>
    </row>
    <row r="421" spans="1:5">
      <c r="A421" s="8"/>
      <c r="B421" s="12"/>
      <c r="C421" s="4"/>
      <c r="E421" s="2"/>
    </row>
    <row r="422" spans="1:5">
      <c r="A422" s="8"/>
      <c r="B422" s="12"/>
      <c r="C422" s="4"/>
      <c r="E422" s="2"/>
    </row>
    <row r="423" spans="1:5">
      <c r="A423" s="8"/>
      <c r="B423" s="12"/>
      <c r="C423" s="4"/>
      <c r="E423" s="2"/>
    </row>
    <row r="424" spans="1:5">
      <c r="A424" s="8"/>
      <c r="B424" s="12"/>
      <c r="C424" s="4"/>
      <c r="E424" s="2"/>
    </row>
    <row r="425" spans="1:5">
      <c r="A425" s="8"/>
      <c r="B425" s="12"/>
      <c r="C425" s="4"/>
      <c r="E425" s="2"/>
    </row>
    <row r="426" spans="1:5">
      <c r="A426" s="8"/>
      <c r="B426" s="12"/>
      <c r="C426" s="4"/>
      <c r="E426" s="2"/>
    </row>
    <row r="427" spans="1:5">
      <c r="A427" s="8"/>
      <c r="B427" s="12"/>
      <c r="C427" s="4"/>
      <c r="E427" s="2"/>
    </row>
    <row r="428" spans="1:5">
      <c r="A428" s="8"/>
      <c r="B428" s="12"/>
      <c r="C428" s="4"/>
      <c r="E428" s="2"/>
    </row>
    <row r="429" spans="1:5">
      <c r="A429" s="8"/>
      <c r="B429" s="12"/>
      <c r="C429" s="4"/>
      <c r="E429" s="2"/>
    </row>
    <row r="430" spans="1:5">
      <c r="A430" s="8"/>
      <c r="B430" s="12"/>
      <c r="C430" s="4"/>
      <c r="E430" s="2"/>
    </row>
    <row r="431" spans="1:5">
      <c r="A431" s="8"/>
      <c r="B431" s="12"/>
      <c r="C431" s="4"/>
      <c r="E431" s="2"/>
    </row>
    <row r="432" spans="1:5">
      <c r="A432" s="8"/>
      <c r="B432" s="12"/>
      <c r="C432" s="4"/>
      <c r="E432" s="2"/>
    </row>
    <row r="433" spans="1:5">
      <c r="A433" s="8"/>
      <c r="B433" s="12"/>
      <c r="C433" s="4"/>
      <c r="E433" s="2"/>
    </row>
    <row r="434" spans="1:5">
      <c r="A434" s="8"/>
      <c r="B434" s="12"/>
      <c r="C434" s="4"/>
      <c r="E434" s="2"/>
    </row>
    <row r="435" spans="1:5">
      <c r="A435" s="8"/>
      <c r="B435" s="12"/>
      <c r="C435" s="4"/>
      <c r="E435" s="2"/>
    </row>
    <row r="436" spans="1:5">
      <c r="A436" s="8"/>
      <c r="B436" s="12"/>
      <c r="C436" s="4"/>
      <c r="E436" s="2"/>
    </row>
    <row r="437" spans="1:5">
      <c r="A437" s="8"/>
      <c r="B437" s="12"/>
      <c r="C437" s="4"/>
      <c r="E437" s="2"/>
    </row>
    <row r="438" spans="1:5">
      <c r="A438" s="8"/>
      <c r="B438" s="12"/>
      <c r="C438" s="4"/>
      <c r="E438" s="2"/>
    </row>
    <row r="439" spans="1:5">
      <c r="A439" s="8"/>
      <c r="B439" s="12"/>
      <c r="C439" s="4"/>
      <c r="E439" s="2"/>
    </row>
    <row r="440" spans="1:5">
      <c r="A440" s="8"/>
      <c r="B440" s="12"/>
      <c r="C440" s="4"/>
      <c r="E440" s="2"/>
    </row>
    <row r="441" spans="1:5">
      <c r="A441" s="8"/>
      <c r="B441" s="12"/>
      <c r="C441" s="4"/>
      <c r="E441" s="2"/>
    </row>
    <row r="442" spans="1:5">
      <c r="A442" s="8"/>
      <c r="B442" s="12"/>
      <c r="C442" s="4"/>
      <c r="E442" s="2"/>
    </row>
    <row r="443" spans="1:5">
      <c r="A443" s="8"/>
      <c r="B443" s="12"/>
      <c r="C443" s="4"/>
      <c r="E443" s="2"/>
    </row>
    <row r="444" spans="1:5">
      <c r="A444" s="8"/>
      <c r="B444" s="12"/>
      <c r="C444" s="4"/>
      <c r="E444" s="2"/>
    </row>
    <row r="445" spans="1:5">
      <c r="A445" s="8"/>
      <c r="B445" s="12"/>
      <c r="C445" s="4"/>
      <c r="E445" s="2"/>
    </row>
    <row r="446" spans="1:5">
      <c r="A446" s="8"/>
      <c r="B446" s="12"/>
      <c r="C446" s="4"/>
      <c r="E446" s="2"/>
    </row>
    <row r="447" spans="1:5">
      <c r="A447" s="8"/>
      <c r="B447" s="12"/>
      <c r="C447" s="4"/>
      <c r="E447" s="2"/>
    </row>
    <row r="448" spans="1:5">
      <c r="A448" s="8"/>
      <c r="B448" s="12"/>
      <c r="C448" s="4"/>
      <c r="E448" s="2"/>
    </row>
    <row r="449" spans="1:5">
      <c r="A449" s="8"/>
      <c r="B449" s="12"/>
      <c r="C449" s="4"/>
      <c r="E449" s="2"/>
    </row>
    <row r="450" spans="1:5">
      <c r="A450" s="8"/>
      <c r="B450" s="12"/>
      <c r="C450" s="4"/>
      <c r="E450" s="2"/>
    </row>
    <row r="451" spans="1:5">
      <c r="A451" s="8"/>
      <c r="B451" s="12"/>
      <c r="C451" s="4"/>
      <c r="E451" s="2"/>
    </row>
    <row r="452" spans="1:5">
      <c r="A452" s="8"/>
      <c r="B452" s="12"/>
      <c r="C452" s="4"/>
      <c r="E452" s="2"/>
    </row>
    <row r="453" spans="1:5">
      <c r="A453" s="8"/>
      <c r="B453" s="12"/>
      <c r="C453" s="4"/>
      <c r="E453" s="2"/>
    </row>
    <row r="454" spans="1:5">
      <c r="A454" s="8"/>
      <c r="B454" s="12"/>
      <c r="C454" s="4"/>
      <c r="E454" s="2"/>
    </row>
    <row r="455" spans="1:5">
      <c r="A455" s="8"/>
      <c r="B455" s="12"/>
      <c r="C455" s="4"/>
      <c r="E455" s="2"/>
    </row>
    <row r="456" spans="1:5">
      <c r="A456" s="8"/>
      <c r="B456" s="12"/>
      <c r="C456" s="4"/>
      <c r="E456" s="2"/>
    </row>
    <row r="457" spans="1:5">
      <c r="A457" s="8"/>
      <c r="B457" s="12"/>
      <c r="C457" s="4"/>
      <c r="E457" s="2"/>
    </row>
    <row r="458" spans="1:5">
      <c r="A458" s="8"/>
      <c r="B458" s="12"/>
      <c r="C458" s="4"/>
      <c r="E458" s="2"/>
    </row>
    <row r="459" spans="1:5">
      <c r="A459" s="8"/>
      <c r="B459" s="12"/>
      <c r="C459" s="4"/>
      <c r="E459" s="2"/>
    </row>
    <row r="460" spans="1:5">
      <c r="A460" s="8"/>
      <c r="B460" s="12"/>
      <c r="C460" s="4"/>
      <c r="E460" s="2"/>
    </row>
    <row r="461" spans="1:5">
      <c r="A461" s="8"/>
      <c r="B461" s="12"/>
      <c r="C461" s="4"/>
      <c r="E461" s="2"/>
    </row>
    <row r="462" spans="1:5">
      <c r="A462" s="8"/>
      <c r="B462" s="12"/>
      <c r="C462" s="4"/>
      <c r="E462" s="2"/>
    </row>
    <row r="463" spans="1:5">
      <c r="A463" s="8"/>
      <c r="B463" s="12"/>
      <c r="C463" s="4"/>
      <c r="E463" s="2"/>
    </row>
    <row r="464" spans="1:5">
      <c r="A464" s="8"/>
      <c r="B464" s="12"/>
      <c r="C464" s="4"/>
      <c r="E464" s="2"/>
    </row>
    <row r="465" spans="1:5">
      <c r="A465" s="8"/>
      <c r="B465" s="12"/>
      <c r="C465" s="4"/>
      <c r="E465" s="2"/>
    </row>
    <row r="466" spans="1:5">
      <c r="A466" s="8"/>
      <c r="B466" s="12"/>
      <c r="C466" s="4"/>
      <c r="E466" s="2"/>
    </row>
    <row r="467" spans="1:5">
      <c r="A467" s="8"/>
      <c r="B467" s="12"/>
      <c r="C467" s="4"/>
      <c r="E467" s="2"/>
    </row>
    <row r="468" spans="1:5">
      <c r="A468" s="8"/>
      <c r="B468" s="12"/>
      <c r="C468" s="4"/>
      <c r="E468" s="2"/>
    </row>
    <row r="469" spans="1:5">
      <c r="A469" s="8"/>
      <c r="B469" s="12"/>
      <c r="C469" s="4"/>
      <c r="E469" s="2"/>
    </row>
    <row r="470" spans="1:5">
      <c r="A470" s="8"/>
      <c r="B470" s="12"/>
      <c r="C470" s="4"/>
      <c r="E470" s="2"/>
    </row>
    <row r="471" spans="1:5">
      <c r="A471" s="8"/>
      <c r="B471" s="12"/>
      <c r="C471" s="4"/>
      <c r="E471" s="2"/>
    </row>
    <row r="472" spans="1:5">
      <c r="A472" s="8"/>
      <c r="B472" s="12"/>
      <c r="C472" s="4"/>
      <c r="E472" s="2"/>
    </row>
    <row r="473" spans="1:5">
      <c r="A473" s="8"/>
      <c r="B473" s="12"/>
      <c r="C473" s="4"/>
      <c r="E473" s="2"/>
    </row>
    <row r="474" spans="1:5">
      <c r="A474" s="8"/>
      <c r="B474" s="12"/>
      <c r="C474" s="4"/>
      <c r="E474" s="2"/>
    </row>
    <row r="475" spans="1:5">
      <c r="A475" s="8"/>
      <c r="B475" s="12"/>
      <c r="C475" s="4"/>
      <c r="E475" s="2"/>
    </row>
    <row r="476" spans="1:5">
      <c r="A476" s="8"/>
      <c r="B476" s="12"/>
      <c r="C476" s="4"/>
      <c r="E476" s="2"/>
    </row>
    <row r="477" spans="1:5">
      <c r="A477" s="8"/>
      <c r="B477" s="12"/>
      <c r="C477" s="4"/>
      <c r="E477" s="2"/>
    </row>
    <row r="478" spans="1:5">
      <c r="A478" s="8"/>
      <c r="B478" s="12"/>
      <c r="C478" s="4"/>
      <c r="E478" s="2"/>
    </row>
    <row r="479" spans="1:5">
      <c r="A479" s="8"/>
      <c r="B479" s="12"/>
      <c r="C479" s="4"/>
      <c r="E479" s="2"/>
    </row>
    <row r="480" spans="1:5">
      <c r="A480" s="8"/>
      <c r="B480" s="12"/>
      <c r="C480" s="4"/>
      <c r="E480" s="2"/>
    </row>
    <row r="481" spans="1:5">
      <c r="A481" s="8"/>
      <c r="B481" s="12"/>
      <c r="C481" s="4"/>
      <c r="E481" s="2"/>
    </row>
    <row r="482" spans="1:5">
      <c r="A482" s="8"/>
      <c r="B482" s="12"/>
      <c r="C482" s="4"/>
      <c r="E482" s="2"/>
    </row>
    <row r="483" spans="1:5">
      <c r="A483" s="8"/>
      <c r="B483" s="12"/>
      <c r="C483" s="4"/>
      <c r="E483" s="2"/>
    </row>
    <row r="484" spans="1:5">
      <c r="A484" s="8"/>
      <c r="B484" s="12"/>
      <c r="C484" s="4"/>
      <c r="E484" s="2"/>
    </row>
    <row r="485" spans="1:5">
      <c r="A485" s="8"/>
      <c r="B485" s="12"/>
      <c r="C485" s="4"/>
      <c r="E485" s="2"/>
    </row>
    <row r="486" spans="1:5">
      <c r="A486" s="8"/>
      <c r="B486" s="12"/>
      <c r="C486" s="4"/>
      <c r="E486" s="2"/>
    </row>
    <row r="487" spans="1:5">
      <c r="A487" s="8"/>
      <c r="B487" s="12"/>
      <c r="C487" s="4"/>
      <c r="E487" s="2"/>
    </row>
    <row r="488" spans="1:5">
      <c r="A488" s="8"/>
      <c r="B488" s="12"/>
      <c r="C488" s="4"/>
      <c r="E488" s="2"/>
    </row>
    <row r="489" spans="1:5">
      <c r="A489" s="8"/>
      <c r="B489" s="12"/>
      <c r="C489" s="4"/>
      <c r="E489" s="2"/>
    </row>
    <row r="490" spans="1:5">
      <c r="A490" s="8"/>
      <c r="B490" s="12"/>
      <c r="C490" s="4"/>
      <c r="E490" s="2"/>
    </row>
    <row r="491" spans="1:5">
      <c r="A491" s="8"/>
      <c r="B491" s="12"/>
      <c r="C491" s="4"/>
      <c r="E491" s="2"/>
    </row>
    <row r="492" spans="1:5">
      <c r="A492" s="8"/>
      <c r="B492" s="12"/>
      <c r="C492" s="4"/>
      <c r="E492" s="2"/>
    </row>
    <row r="493" spans="1:5">
      <c r="A493" s="8"/>
      <c r="B493" s="12"/>
      <c r="C493" s="4"/>
      <c r="E493" s="2"/>
    </row>
    <row r="494" spans="1:5">
      <c r="A494" s="8"/>
      <c r="B494" s="12"/>
      <c r="C494" s="4"/>
      <c r="E494" s="2"/>
    </row>
    <row r="495" spans="1:5">
      <c r="A495" s="8"/>
      <c r="B495" s="12"/>
      <c r="C495" s="4"/>
      <c r="E495" s="2"/>
    </row>
    <row r="496" spans="1:5">
      <c r="A496" s="8"/>
      <c r="B496" s="12"/>
      <c r="C496" s="4"/>
      <c r="E496" s="2"/>
    </row>
    <row r="497" spans="1:5">
      <c r="A497" s="8"/>
      <c r="B497" s="12"/>
      <c r="C497" s="4"/>
      <c r="E497" s="2"/>
    </row>
    <row r="498" spans="1:5">
      <c r="A498" s="8"/>
      <c r="B498" s="12"/>
      <c r="C498" s="4"/>
      <c r="E498" s="2"/>
    </row>
    <row r="499" spans="1:5">
      <c r="A499" s="8"/>
      <c r="B499" s="12"/>
      <c r="C499" s="4"/>
      <c r="E499" s="2"/>
    </row>
    <row r="500" spans="1:5">
      <c r="A500" s="8"/>
      <c r="B500" s="12"/>
      <c r="C500" s="4"/>
      <c r="E500" s="2"/>
    </row>
    <row r="501" spans="1:5">
      <c r="A501" s="8"/>
      <c r="B501" s="12"/>
      <c r="C501" s="4"/>
      <c r="E501" s="2"/>
    </row>
    <row r="502" spans="1:5">
      <c r="A502" s="8"/>
      <c r="B502" s="12"/>
      <c r="C502" s="4"/>
      <c r="E502" s="2"/>
    </row>
    <row r="503" spans="1:5">
      <c r="A503" s="8"/>
      <c r="B503" s="12"/>
      <c r="C503" s="4"/>
      <c r="E503" s="2"/>
    </row>
    <row r="504" spans="1:5">
      <c r="A504" s="8"/>
      <c r="B504" s="12"/>
      <c r="C504" s="4"/>
      <c r="E504" s="2"/>
    </row>
    <row r="505" spans="1:5">
      <c r="A505" s="8"/>
      <c r="B505" s="12"/>
      <c r="C505" s="4"/>
      <c r="E505" s="2"/>
    </row>
    <row r="506" spans="1:5">
      <c r="A506" s="8"/>
      <c r="B506" s="12"/>
      <c r="C506" s="4"/>
      <c r="E506" s="2"/>
    </row>
    <row r="507" spans="1:5">
      <c r="A507" s="8"/>
      <c r="B507" s="12"/>
      <c r="C507" s="4"/>
      <c r="E507" s="2"/>
    </row>
    <row r="508" spans="1:5">
      <c r="A508" s="8"/>
      <c r="B508" s="12"/>
      <c r="C508" s="4"/>
      <c r="E508" s="2"/>
    </row>
    <row r="509" spans="1:5">
      <c r="A509" s="8"/>
      <c r="B509" s="12"/>
      <c r="C509" s="4"/>
      <c r="E509" s="2"/>
    </row>
    <row r="510" spans="1:5">
      <c r="A510" s="8"/>
      <c r="B510" s="12"/>
      <c r="C510" s="4"/>
      <c r="E510" s="2"/>
    </row>
    <row r="511" spans="1:5">
      <c r="A511" s="8"/>
      <c r="B511" s="12"/>
      <c r="C511" s="4"/>
      <c r="E511" s="2"/>
    </row>
    <row r="512" spans="1:5">
      <c r="A512" s="8"/>
      <c r="B512" s="12"/>
      <c r="C512" s="4"/>
      <c r="E512" s="2"/>
    </row>
    <row r="513" spans="1:5">
      <c r="A513" s="8"/>
      <c r="B513" s="12"/>
      <c r="C513" s="4"/>
      <c r="E513" s="2"/>
    </row>
    <row r="514" spans="1:5">
      <c r="A514" s="8"/>
      <c r="B514" s="12"/>
      <c r="C514" s="4"/>
      <c r="E514" s="2"/>
    </row>
    <row r="515" spans="1:5">
      <c r="A515" s="8"/>
      <c r="B515" s="12"/>
      <c r="C515" s="4"/>
      <c r="E515" s="2"/>
    </row>
    <row r="516" spans="1:5">
      <c r="A516" s="8"/>
      <c r="B516" s="12"/>
      <c r="C516" s="4"/>
      <c r="E516" s="2"/>
    </row>
    <row r="517" spans="1:5">
      <c r="A517" s="8"/>
      <c r="B517" s="12"/>
      <c r="C517" s="4"/>
      <c r="E517" s="2"/>
    </row>
    <row r="518" spans="1:5">
      <c r="A518" s="8"/>
      <c r="B518" s="12"/>
      <c r="C518" s="4"/>
      <c r="E518" s="2"/>
    </row>
    <row r="519" spans="1:5">
      <c r="A519" s="8"/>
      <c r="B519" s="12"/>
      <c r="C519" s="4"/>
      <c r="E519" s="2"/>
    </row>
    <row r="520" spans="1:5">
      <c r="A520" s="8"/>
      <c r="B520" s="12"/>
      <c r="C520" s="4"/>
      <c r="E520" s="2"/>
    </row>
    <row r="521" spans="1:5">
      <c r="A521" s="8"/>
      <c r="B521" s="12"/>
      <c r="C521" s="4"/>
      <c r="E521" s="2"/>
    </row>
    <row r="522" spans="1:5">
      <c r="A522" s="8"/>
      <c r="B522" s="12"/>
      <c r="C522" s="4"/>
      <c r="E522" s="2"/>
    </row>
    <row r="523" spans="1:5">
      <c r="A523" s="8"/>
      <c r="B523" s="12"/>
      <c r="C523" s="4"/>
      <c r="E523" s="2"/>
    </row>
    <row r="524" spans="1:5">
      <c r="A524" s="8"/>
      <c r="B524" s="12"/>
      <c r="C524" s="4"/>
      <c r="E524" s="2"/>
    </row>
    <row r="525" spans="1:5">
      <c r="A525" s="8"/>
      <c r="B525" s="12"/>
      <c r="C525" s="4"/>
      <c r="E525" s="2"/>
    </row>
    <row r="526" spans="1:5">
      <c r="A526" s="8"/>
      <c r="B526" s="12"/>
      <c r="C526" s="4"/>
      <c r="E526" s="2"/>
    </row>
    <row r="527" spans="1:5">
      <c r="A527" s="8"/>
      <c r="B527" s="12"/>
      <c r="C527" s="4"/>
      <c r="E527" s="2"/>
    </row>
    <row r="528" spans="1:5">
      <c r="A528" s="8"/>
      <c r="B528" s="12"/>
      <c r="C528" s="4"/>
      <c r="E528" s="2"/>
    </row>
    <row r="529" spans="1:5">
      <c r="A529" s="8"/>
      <c r="B529" s="12"/>
      <c r="C529" s="4"/>
      <c r="E529" s="2"/>
    </row>
    <row r="530" spans="1:5">
      <c r="A530" s="8"/>
      <c r="B530" s="12"/>
      <c r="C530" s="4"/>
      <c r="E530" s="2"/>
    </row>
    <row r="531" spans="1:5">
      <c r="A531" s="8"/>
      <c r="B531" s="12"/>
      <c r="C531" s="4"/>
      <c r="E531" s="2"/>
    </row>
    <row r="532" spans="1:5">
      <c r="A532" s="8"/>
      <c r="B532" s="12"/>
      <c r="C532" s="4"/>
      <c r="E532" s="2"/>
    </row>
    <row r="533" spans="1:5">
      <c r="A533" s="8"/>
      <c r="B533" s="12"/>
      <c r="C533" s="4"/>
      <c r="E533" s="2"/>
    </row>
    <row r="534" spans="1:5">
      <c r="A534" s="8"/>
      <c r="B534" s="12"/>
      <c r="C534" s="4"/>
      <c r="E534" s="2"/>
    </row>
    <row r="535" spans="1:5">
      <c r="A535" s="8"/>
      <c r="B535" s="12"/>
      <c r="C535" s="4"/>
      <c r="E535" s="2"/>
    </row>
    <row r="536" spans="1:5">
      <c r="A536" s="8"/>
      <c r="B536" s="12"/>
      <c r="C536" s="4"/>
      <c r="E536" s="2"/>
    </row>
    <row r="537" spans="1:5">
      <c r="A537" s="8"/>
      <c r="B537" s="12"/>
      <c r="C537" s="4"/>
      <c r="E537" s="2"/>
    </row>
    <row r="538" spans="1:5">
      <c r="A538" s="8"/>
      <c r="B538" s="12"/>
      <c r="C538" s="4"/>
      <c r="E538" s="2"/>
    </row>
    <row r="539" spans="1:5">
      <c r="A539" s="8"/>
      <c r="B539" s="12"/>
      <c r="C539" s="4"/>
      <c r="E539" s="2"/>
    </row>
    <row r="540" spans="1:5">
      <c r="A540" s="8"/>
      <c r="B540" s="12"/>
      <c r="C540" s="4"/>
      <c r="E540" s="2"/>
    </row>
    <row r="541" spans="1:5">
      <c r="A541" s="8"/>
      <c r="B541" s="12"/>
      <c r="C541" s="4"/>
      <c r="E541" s="2"/>
    </row>
    <row r="542" spans="1:5">
      <c r="A542" s="8"/>
      <c r="B542" s="12"/>
      <c r="C542" s="4"/>
      <c r="E542" s="2"/>
    </row>
    <row r="543" spans="1:5">
      <c r="A543" s="8"/>
      <c r="B543" s="12"/>
      <c r="C543" s="4"/>
      <c r="E543" s="2"/>
    </row>
    <row r="544" spans="1:5">
      <c r="A544" s="8"/>
      <c r="B544" s="12"/>
      <c r="C544" s="4"/>
      <c r="E544" s="2"/>
    </row>
    <row r="545" spans="1:5">
      <c r="A545" s="8"/>
      <c r="B545" s="12"/>
      <c r="C545" s="4"/>
      <c r="E545" s="2"/>
    </row>
    <row r="546" spans="1:5">
      <c r="A546" s="8"/>
      <c r="B546" s="12"/>
      <c r="C546" s="4"/>
      <c r="E546" s="2"/>
    </row>
    <row r="547" spans="1:5">
      <c r="A547" s="8"/>
      <c r="B547" s="12"/>
      <c r="C547" s="4"/>
      <c r="E547" s="2"/>
    </row>
    <row r="548" spans="1:5">
      <c r="A548" s="8"/>
      <c r="B548" s="12"/>
      <c r="C548" s="4"/>
      <c r="E548" s="2"/>
    </row>
    <row r="549" spans="1:5">
      <c r="A549" s="8"/>
      <c r="B549" s="12"/>
      <c r="C549" s="4"/>
      <c r="E549" s="2"/>
    </row>
    <row r="550" spans="1:5">
      <c r="A550" s="24"/>
      <c r="B550" s="25"/>
      <c r="C550" s="13"/>
      <c r="D550" s="26"/>
      <c r="E550" s="3"/>
    </row>
  </sheetData>
  <mergeCells count="19">
    <mergeCell ref="J25:J26"/>
    <mergeCell ref="H3:H4"/>
    <mergeCell ref="H7:H10"/>
    <mergeCell ref="H23:H24"/>
    <mergeCell ref="H25:H26"/>
    <mergeCell ref="I25:I26"/>
    <mergeCell ref="H27:H28"/>
    <mergeCell ref="I27:I28"/>
    <mergeCell ref="J27:J28"/>
    <mergeCell ref="H29:H30"/>
    <mergeCell ref="I29:I30"/>
    <mergeCell ref="J29:J30"/>
    <mergeCell ref="H64:H65"/>
    <mergeCell ref="H31:H32"/>
    <mergeCell ref="I31:I32"/>
    <mergeCell ref="J31:J32"/>
    <mergeCell ref="I33:I34"/>
    <mergeCell ref="J33:J34"/>
    <mergeCell ref="H38:H39"/>
  </mergeCells>
  <conditionalFormatting sqref="E1:E1048576">
    <cfRule type="cellIs" dxfId="837" priority="74" operator="equal">
      <formula>"PATCH PENDING"</formula>
    </cfRule>
  </conditionalFormatting>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cellIs" priority="81" operator="equal" id="{4078E9B4-5B7D-4C5A-86AD-0AE3769F47B1}">
            <xm:f>dropdown!$A$6</xm:f>
            <x14:dxf>
              <fill>
                <patternFill>
                  <bgColor rgb="FFDE00A4"/>
                </patternFill>
              </fill>
            </x14:dxf>
          </x14:cfRule>
          <xm:sqref>E542:E1048576 E1</xm:sqref>
        </x14:conditionalFormatting>
        <x14:conditionalFormatting xmlns:xm="http://schemas.microsoft.com/office/excel/2006/main">
          <x14:cfRule type="cellIs" priority="76" operator="equal" id="{BED7F1D1-0AE9-4E9B-A0AB-2A16069D870C}">
            <xm:f>dropdown!$A$6</xm:f>
            <x14:dxf>
              <fill>
                <patternFill>
                  <bgColor rgb="FFDE00A4"/>
                </patternFill>
              </fill>
            </x14:dxf>
          </x14:cfRule>
          <x14:cfRule type="cellIs" priority="77" operator="equal" id="{7E346F34-0BDA-4C28-B904-B051F03A85C3}">
            <xm:f>dropdown!$A$4</xm:f>
            <x14:dxf>
              <fill>
                <patternFill>
                  <bgColor rgb="FFFF7C80"/>
                </patternFill>
              </fill>
            </x14:dxf>
          </x14:cfRule>
          <x14:cfRule type="cellIs" priority="78" operator="equal" id="{C190833A-CCC5-457F-86F2-DA2FBD3EB7CC}">
            <xm:f>dropdown!$A$5</xm:f>
            <x14:dxf>
              <fill>
                <patternFill>
                  <bgColor rgb="FFCC99FF"/>
                </patternFill>
              </fill>
            </x14:dxf>
          </x14:cfRule>
          <x14:cfRule type="cellIs" priority="79" operator="equal" id="{63D28020-D302-497B-9184-5F7E01C84903}">
            <xm:f>dropdown!$A$4</xm:f>
            <x14:dxf>
              <fill>
                <patternFill>
                  <bgColor rgb="FFFF7C80"/>
                </patternFill>
              </fill>
            </x14:dxf>
          </x14:cfRule>
          <x14:cfRule type="cellIs" priority="80" operator="equal" id="{17E06886-F51F-48AF-940D-84175263CF44}">
            <xm:f>dropdown!$A$5</xm:f>
            <x14:dxf>
              <fill>
                <patternFill>
                  <bgColor rgb="FFCC99FF"/>
                </patternFill>
              </fill>
            </x14:dxf>
          </x14:cfRule>
          <xm:sqref>E2:E550</xm:sqref>
        </x14:conditionalFormatting>
        <x14:conditionalFormatting xmlns:xm="http://schemas.microsoft.com/office/excel/2006/main">
          <x14:cfRule type="cellIs" priority="75" operator="equal" id="{3284A8BA-7EB2-4F93-98E3-2C9E4A637BD6}">
            <xm:f>dropdown!$A$7</xm:f>
            <x14:dxf>
              <fill>
                <patternFill>
                  <bgColor rgb="FFD85659"/>
                </patternFill>
              </fill>
            </x14:dxf>
          </x14:cfRule>
          <xm:sqref>E1:E1048576</xm:sqref>
        </x14:conditionalFormatting>
        <x14:conditionalFormatting xmlns:xm="http://schemas.microsoft.com/office/excel/2006/main">
          <x14:cfRule type="cellIs" priority="73" operator="equal" id="{CACA0EF4-A850-432D-B983-36FD3B93783B}">
            <xm:f>dropdown!$A$9</xm:f>
            <x14:dxf>
              <font>
                <b/>
                <i val="0"/>
              </font>
              <fill>
                <gradientFill type="path" left="0.5" right="0.5" top="0.5" bottom="0.5">
                  <stop position="0">
                    <color rgb="FFFFCA33"/>
                  </stop>
                  <stop position="1">
                    <color rgb="FFFFBA2D"/>
                  </stop>
                </gradientFill>
              </fill>
            </x14:dxf>
          </x14:cfRule>
          <xm:sqref>E1:E1048576</xm:sqref>
        </x14:conditionalFormatting>
        <x14:conditionalFormatting xmlns:xm="http://schemas.microsoft.com/office/excel/2006/main">
          <x14:cfRule type="cellIs" priority="68" operator="equal" id="{042A370B-E5CC-4B44-9919-DCDFEDE75FDF}">
            <xm:f>dropdown!$A$6</xm:f>
            <x14:dxf>
              <fill>
                <patternFill>
                  <bgColor rgb="FFDE00A4"/>
                </patternFill>
              </fill>
            </x14:dxf>
          </x14:cfRule>
          <x14:cfRule type="cellIs" priority="69" operator="equal" id="{CD8E0814-4F5F-4264-93C0-E428C335438D}">
            <xm:f>dropdown!$A$4</xm:f>
            <x14:dxf>
              <fill>
                <patternFill>
                  <bgColor rgb="FFFF7C80"/>
                </patternFill>
              </fill>
            </x14:dxf>
          </x14:cfRule>
          <x14:cfRule type="cellIs" priority="70" operator="equal" id="{2FE388B2-9674-40F2-A43D-072AC5E4D87D}">
            <xm:f>dropdown!$A$5</xm:f>
            <x14:dxf>
              <fill>
                <patternFill>
                  <bgColor rgb="FFCC99FF"/>
                </patternFill>
              </fill>
            </x14:dxf>
          </x14:cfRule>
          <x14:cfRule type="cellIs" priority="71" operator="equal" id="{9538C83F-6926-4DDD-A1C8-3AA3FE467042}">
            <xm:f>dropdown!$A$4</xm:f>
            <x14:dxf>
              <fill>
                <patternFill>
                  <bgColor rgb="FFFF7C80"/>
                </patternFill>
              </fill>
            </x14:dxf>
          </x14:cfRule>
          <x14:cfRule type="cellIs" priority="72" operator="equal" id="{51441F58-CADB-4169-8A16-373CAA627505}">
            <xm:f>dropdown!$A$5</xm:f>
            <x14:dxf>
              <fill>
                <patternFill>
                  <bgColor rgb="FFCC99FF"/>
                </patternFill>
              </fill>
            </x14:dxf>
          </x14:cfRule>
          <xm:sqref>E23</xm:sqref>
        </x14:conditionalFormatting>
        <x14:conditionalFormatting xmlns:xm="http://schemas.microsoft.com/office/excel/2006/main">
          <x14:cfRule type="cellIs" priority="67" operator="equal" id="{03E908A0-E66B-4E5B-9072-7974B32AC30A}">
            <xm:f>dropdown!$A$7</xm:f>
            <x14:dxf>
              <fill>
                <patternFill>
                  <bgColor rgb="FFD85659"/>
                </patternFill>
              </fill>
            </x14:dxf>
          </x14:cfRule>
          <xm:sqref>E23</xm:sqref>
        </x14:conditionalFormatting>
        <x14:conditionalFormatting xmlns:xm="http://schemas.microsoft.com/office/excel/2006/main">
          <x14:cfRule type="cellIs" priority="62" operator="equal" id="{0F7DD668-BF88-4609-BBBF-EB3EBA14EE2A}">
            <xm:f>dropdown!$A$6</xm:f>
            <x14:dxf>
              <fill>
                <patternFill>
                  <bgColor rgb="FFDE00A4"/>
                </patternFill>
              </fill>
            </x14:dxf>
          </x14:cfRule>
          <x14:cfRule type="cellIs" priority="63" operator="equal" id="{B6E837B3-D3E1-4C10-9957-6C6E95944EA7}">
            <xm:f>dropdown!$A$4</xm:f>
            <x14:dxf>
              <fill>
                <patternFill>
                  <bgColor rgb="FFFF7C80"/>
                </patternFill>
              </fill>
            </x14:dxf>
          </x14:cfRule>
          <x14:cfRule type="cellIs" priority="64" operator="equal" id="{06865D05-0088-44F4-8007-6C4C207A22CD}">
            <xm:f>dropdown!$A$5</xm:f>
            <x14:dxf>
              <fill>
                <patternFill>
                  <bgColor rgb="FFCC99FF"/>
                </patternFill>
              </fill>
            </x14:dxf>
          </x14:cfRule>
          <x14:cfRule type="cellIs" priority="65" operator="equal" id="{2450DA7D-7B14-47EE-A14E-C2C9078EFC33}">
            <xm:f>dropdown!$A$4</xm:f>
            <x14:dxf>
              <fill>
                <patternFill>
                  <bgColor rgb="FFFF7C80"/>
                </patternFill>
              </fill>
            </x14:dxf>
          </x14:cfRule>
          <x14:cfRule type="cellIs" priority="66" operator="equal" id="{8002DDD1-C668-43FC-851F-90F452E895AD}">
            <xm:f>dropdown!$A$5</xm:f>
            <x14:dxf>
              <fill>
                <patternFill>
                  <bgColor rgb="FFCC99FF"/>
                </patternFill>
              </fill>
            </x14:dxf>
          </x14:cfRule>
          <xm:sqref>E24</xm:sqref>
        </x14:conditionalFormatting>
        <x14:conditionalFormatting xmlns:xm="http://schemas.microsoft.com/office/excel/2006/main">
          <x14:cfRule type="cellIs" priority="61" operator="equal" id="{37A10EA9-BB3F-4F9F-985F-CB16EAF23A6F}">
            <xm:f>dropdown!$A$7</xm:f>
            <x14:dxf>
              <fill>
                <patternFill>
                  <bgColor rgb="FFD85659"/>
                </patternFill>
              </fill>
            </x14:dxf>
          </x14:cfRule>
          <xm:sqref>E24</xm:sqref>
        </x14:conditionalFormatting>
        <x14:conditionalFormatting xmlns:xm="http://schemas.microsoft.com/office/excel/2006/main">
          <x14:cfRule type="cellIs" priority="56" operator="equal" id="{91ACA1E5-4C24-40C7-A8D3-4CA9E66A38F8}">
            <xm:f>dropdown!$A$6</xm:f>
            <x14:dxf>
              <fill>
                <patternFill>
                  <bgColor rgb="FFDE00A4"/>
                </patternFill>
              </fill>
            </x14:dxf>
          </x14:cfRule>
          <x14:cfRule type="cellIs" priority="57" operator="equal" id="{797AF7C5-C799-469C-98EE-97C99C3EB668}">
            <xm:f>dropdown!$A$4</xm:f>
            <x14:dxf>
              <fill>
                <patternFill>
                  <bgColor rgb="FFFF7C80"/>
                </patternFill>
              </fill>
            </x14:dxf>
          </x14:cfRule>
          <x14:cfRule type="cellIs" priority="58" operator="equal" id="{40B70A8D-620B-43B5-BADE-DBEEF002AB7C}">
            <xm:f>dropdown!$A$5</xm:f>
            <x14:dxf>
              <fill>
                <patternFill>
                  <bgColor rgb="FFCC99FF"/>
                </patternFill>
              </fill>
            </x14:dxf>
          </x14:cfRule>
          <x14:cfRule type="cellIs" priority="59" operator="equal" id="{B3B9598C-F6B7-425A-90DE-D22881540FEA}">
            <xm:f>dropdown!$A$4</xm:f>
            <x14:dxf>
              <fill>
                <patternFill>
                  <bgColor rgb="FFFF7C80"/>
                </patternFill>
              </fill>
            </x14:dxf>
          </x14:cfRule>
          <x14:cfRule type="cellIs" priority="60" operator="equal" id="{C8E7F101-829A-4D9D-92A4-C9B97AE25CDC}">
            <xm:f>dropdown!$A$5</xm:f>
            <x14:dxf>
              <fill>
                <patternFill>
                  <bgColor rgb="FFCC99FF"/>
                </patternFill>
              </fill>
            </x14:dxf>
          </x14:cfRule>
          <xm:sqref>E25</xm:sqref>
        </x14:conditionalFormatting>
        <x14:conditionalFormatting xmlns:xm="http://schemas.microsoft.com/office/excel/2006/main">
          <x14:cfRule type="cellIs" priority="55" operator="equal" id="{90E3EA71-86AA-478E-9369-5D4DEBB68EE5}">
            <xm:f>dropdown!$A$7</xm:f>
            <x14:dxf>
              <fill>
                <patternFill>
                  <bgColor rgb="FFD85659"/>
                </patternFill>
              </fill>
            </x14:dxf>
          </x14:cfRule>
          <xm:sqref>E25</xm:sqref>
        </x14:conditionalFormatting>
        <x14:conditionalFormatting xmlns:xm="http://schemas.microsoft.com/office/excel/2006/main">
          <x14:cfRule type="cellIs" priority="50" operator="equal" id="{EAAA588A-E7DA-416F-A774-D07339C50839}">
            <xm:f>dropdown!$A$6</xm:f>
            <x14:dxf>
              <fill>
                <patternFill>
                  <bgColor rgb="FFDE00A4"/>
                </patternFill>
              </fill>
            </x14:dxf>
          </x14:cfRule>
          <x14:cfRule type="cellIs" priority="51" operator="equal" id="{A1DC61CF-BF45-41EB-BF94-3E2C21F778AA}">
            <xm:f>dropdown!$A$4</xm:f>
            <x14:dxf>
              <fill>
                <patternFill>
                  <bgColor rgb="FFFF7C80"/>
                </patternFill>
              </fill>
            </x14:dxf>
          </x14:cfRule>
          <x14:cfRule type="cellIs" priority="52" operator="equal" id="{6B7415B7-8C91-419B-9A92-2BB5A8D4A02F}">
            <xm:f>dropdown!$A$5</xm:f>
            <x14:dxf>
              <fill>
                <patternFill>
                  <bgColor rgb="FFCC99FF"/>
                </patternFill>
              </fill>
            </x14:dxf>
          </x14:cfRule>
          <x14:cfRule type="cellIs" priority="53" operator="equal" id="{71C7CCD3-5FCB-4000-909E-088EC065689A}">
            <xm:f>dropdown!$A$4</xm:f>
            <x14:dxf>
              <fill>
                <patternFill>
                  <bgColor rgb="FFFF7C80"/>
                </patternFill>
              </fill>
            </x14:dxf>
          </x14:cfRule>
          <x14:cfRule type="cellIs" priority="54" operator="equal" id="{76BE69F3-3FDC-4019-90CF-29445FEB79D6}">
            <xm:f>dropdown!$A$5</xm:f>
            <x14:dxf>
              <fill>
                <patternFill>
                  <bgColor rgb="FFCC99FF"/>
                </patternFill>
              </fill>
            </x14:dxf>
          </x14:cfRule>
          <xm:sqref>E26</xm:sqref>
        </x14:conditionalFormatting>
        <x14:conditionalFormatting xmlns:xm="http://schemas.microsoft.com/office/excel/2006/main">
          <x14:cfRule type="cellIs" priority="49" operator="equal" id="{074990D7-BDBC-4F82-A168-4B674860C124}">
            <xm:f>dropdown!$A$7</xm:f>
            <x14:dxf>
              <fill>
                <patternFill>
                  <bgColor rgb="FFD85659"/>
                </patternFill>
              </fill>
            </x14:dxf>
          </x14:cfRule>
          <xm:sqref>E26</xm:sqref>
        </x14:conditionalFormatting>
        <x14:conditionalFormatting xmlns:xm="http://schemas.microsoft.com/office/excel/2006/main">
          <x14:cfRule type="cellIs" priority="44" operator="equal" id="{C55B93C5-C9C4-47CF-997C-C538C46A32B4}">
            <xm:f>dropdown!$A$6</xm:f>
            <x14:dxf>
              <fill>
                <patternFill>
                  <bgColor rgb="FFDE00A4"/>
                </patternFill>
              </fill>
            </x14:dxf>
          </x14:cfRule>
          <x14:cfRule type="cellIs" priority="45" operator="equal" id="{E8B68C27-D6A0-4023-9400-435828702078}">
            <xm:f>dropdown!$A$4</xm:f>
            <x14:dxf>
              <fill>
                <patternFill>
                  <bgColor rgb="FFFF7C80"/>
                </patternFill>
              </fill>
            </x14:dxf>
          </x14:cfRule>
          <x14:cfRule type="cellIs" priority="46" operator="equal" id="{E95A89AF-674A-4A26-AC16-BC0C6D6F1261}">
            <xm:f>dropdown!$A$5</xm:f>
            <x14:dxf>
              <fill>
                <patternFill>
                  <bgColor rgb="FFCC99FF"/>
                </patternFill>
              </fill>
            </x14:dxf>
          </x14:cfRule>
          <x14:cfRule type="cellIs" priority="47" operator="equal" id="{E90AB52F-E5E7-4D51-81EF-6F3D0B8B6DFB}">
            <xm:f>dropdown!$A$4</xm:f>
            <x14:dxf>
              <fill>
                <patternFill>
                  <bgColor rgb="FFFF7C80"/>
                </patternFill>
              </fill>
            </x14:dxf>
          </x14:cfRule>
          <x14:cfRule type="cellIs" priority="48" operator="equal" id="{BE48023A-5AD5-411D-9628-D6EDCF551D11}">
            <xm:f>dropdown!$A$5</xm:f>
            <x14:dxf>
              <fill>
                <patternFill>
                  <bgColor rgb="FFCC99FF"/>
                </patternFill>
              </fill>
            </x14:dxf>
          </x14:cfRule>
          <xm:sqref>E27</xm:sqref>
        </x14:conditionalFormatting>
        <x14:conditionalFormatting xmlns:xm="http://schemas.microsoft.com/office/excel/2006/main">
          <x14:cfRule type="cellIs" priority="43" operator="equal" id="{76250927-A156-4DEC-9227-F13EBDF535F4}">
            <xm:f>dropdown!$A$7</xm:f>
            <x14:dxf>
              <fill>
                <patternFill>
                  <bgColor rgb="FFD85659"/>
                </patternFill>
              </fill>
            </x14:dxf>
          </x14:cfRule>
          <xm:sqref>E27</xm:sqref>
        </x14:conditionalFormatting>
        <x14:conditionalFormatting xmlns:xm="http://schemas.microsoft.com/office/excel/2006/main">
          <x14:cfRule type="cellIs" priority="38" operator="equal" id="{DC822F6D-4CAC-4625-AD4D-69FAA0B7EDE7}">
            <xm:f>dropdown!$A$6</xm:f>
            <x14:dxf>
              <fill>
                <patternFill>
                  <bgColor rgb="FFDE00A4"/>
                </patternFill>
              </fill>
            </x14:dxf>
          </x14:cfRule>
          <x14:cfRule type="cellIs" priority="39" operator="equal" id="{0FEA1A06-FAC0-49BA-BE4A-89E3884B496D}">
            <xm:f>dropdown!$A$4</xm:f>
            <x14:dxf>
              <fill>
                <patternFill>
                  <bgColor rgb="FFFF7C80"/>
                </patternFill>
              </fill>
            </x14:dxf>
          </x14:cfRule>
          <x14:cfRule type="cellIs" priority="40" operator="equal" id="{63E588AB-1584-42F5-AB34-6BC9A2DE2C5F}">
            <xm:f>dropdown!$A$5</xm:f>
            <x14:dxf>
              <fill>
                <patternFill>
                  <bgColor rgb="FFCC99FF"/>
                </patternFill>
              </fill>
            </x14:dxf>
          </x14:cfRule>
          <x14:cfRule type="cellIs" priority="41" operator="equal" id="{59241055-2F52-46EA-A036-6E0A3DFAAA2E}">
            <xm:f>dropdown!$A$4</xm:f>
            <x14:dxf>
              <fill>
                <patternFill>
                  <bgColor rgb="FFFF7C80"/>
                </patternFill>
              </fill>
            </x14:dxf>
          </x14:cfRule>
          <x14:cfRule type="cellIs" priority="42" operator="equal" id="{BE9A917D-076B-43C3-AB37-357B0F69AA0A}">
            <xm:f>dropdown!$A$5</xm:f>
            <x14:dxf>
              <fill>
                <patternFill>
                  <bgColor rgb="FFCC99FF"/>
                </patternFill>
              </fill>
            </x14:dxf>
          </x14:cfRule>
          <xm:sqref>E28</xm:sqref>
        </x14:conditionalFormatting>
        <x14:conditionalFormatting xmlns:xm="http://schemas.microsoft.com/office/excel/2006/main">
          <x14:cfRule type="cellIs" priority="37" operator="equal" id="{09CE855A-9FDC-4325-A3BB-6D9F0D70C00F}">
            <xm:f>dropdown!$A$7</xm:f>
            <x14:dxf>
              <fill>
                <patternFill>
                  <bgColor rgb="FFD85659"/>
                </patternFill>
              </fill>
            </x14:dxf>
          </x14:cfRule>
          <xm:sqref>E28</xm:sqref>
        </x14:conditionalFormatting>
        <x14:conditionalFormatting xmlns:xm="http://schemas.microsoft.com/office/excel/2006/main">
          <x14:cfRule type="cellIs" priority="32" operator="equal" id="{DBCB525D-C24C-471F-9D5C-D81AF3CFAB7C}">
            <xm:f>dropdown!$A$6</xm:f>
            <x14:dxf>
              <fill>
                <patternFill>
                  <bgColor rgb="FFDE00A4"/>
                </patternFill>
              </fill>
            </x14:dxf>
          </x14:cfRule>
          <x14:cfRule type="cellIs" priority="33" operator="equal" id="{192F4C5B-75F6-4396-B4A5-AB50989AE6BE}">
            <xm:f>dropdown!$A$4</xm:f>
            <x14:dxf>
              <fill>
                <patternFill>
                  <bgColor rgb="FFFF7C80"/>
                </patternFill>
              </fill>
            </x14:dxf>
          </x14:cfRule>
          <x14:cfRule type="cellIs" priority="34" operator="equal" id="{4A8F1B04-F3CB-453F-AC18-62B4B26BBB2E}">
            <xm:f>dropdown!$A$5</xm:f>
            <x14:dxf>
              <fill>
                <patternFill>
                  <bgColor rgb="FFCC99FF"/>
                </patternFill>
              </fill>
            </x14:dxf>
          </x14:cfRule>
          <x14:cfRule type="cellIs" priority="35" operator="equal" id="{5F7C7DAB-CC64-48F6-A8D5-6546C1941933}">
            <xm:f>dropdown!$A$4</xm:f>
            <x14:dxf>
              <fill>
                <patternFill>
                  <bgColor rgb="FFFF7C80"/>
                </patternFill>
              </fill>
            </x14:dxf>
          </x14:cfRule>
          <x14:cfRule type="cellIs" priority="36" operator="equal" id="{D47BEEED-A7E5-4F89-9021-187BF34696DA}">
            <xm:f>dropdown!$A$5</xm:f>
            <x14:dxf>
              <fill>
                <patternFill>
                  <bgColor rgb="FFCC99FF"/>
                </patternFill>
              </fill>
            </x14:dxf>
          </x14:cfRule>
          <xm:sqref>E29</xm:sqref>
        </x14:conditionalFormatting>
        <x14:conditionalFormatting xmlns:xm="http://schemas.microsoft.com/office/excel/2006/main">
          <x14:cfRule type="cellIs" priority="31" operator="equal" id="{6BD65786-7E08-43A1-9427-15A92C257565}">
            <xm:f>dropdown!$A$7</xm:f>
            <x14:dxf>
              <fill>
                <patternFill>
                  <bgColor rgb="FFD85659"/>
                </patternFill>
              </fill>
            </x14:dxf>
          </x14:cfRule>
          <xm:sqref>E29</xm:sqref>
        </x14:conditionalFormatting>
        <x14:conditionalFormatting xmlns:xm="http://schemas.microsoft.com/office/excel/2006/main">
          <x14:cfRule type="cellIs" priority="26" operator="equal" id="{57AD38EC-DAAC-4EBB-A7D3-CE273F478A6A}">
            <xm:f>dropdown!$A$6</xm:f>
            <x14:dxf>
              <fill>
                <patternFill>
                  <bgColor rgb="FFDE00A4"/>
                </patternFill>
              </fill>
            </x14:dxf>
          </x14:cfRule>
          <x14:cfRule type="cellIs" priority="27" operator="equal" id="{80CDBA23-37B8-49E3-8489-4F4768D63FE6}">
            <xm:f>dropdown!$A$4</xm:f>
            <x14:dxf>
              <fill>
                <patternFill>
                  <bgColor rgb="FFFF7C80"/>
                </patternFill>
              </fill>
            </x14:dxf>
          </x14:cfRule>
          <x14:cfRule type="cellIs" priority="28" operator="equal" id="{8ED7E399-86CE-4524-86BE-07DF5A12B75C}">
            <xm:f>dropdown!$A$5</xm:f>
            <x14:dxf>
              <fill>
                <patternFill>
                  <bgColor rgb="FFCC99FF"/>
                </patternFill>
              </fill>
            </x14:dxf>
          </x14:cfRule>
          <x14:cfRule type="cellIs" priority="29" operator="equal" id="{C6FE1767-ECDE-44B2-9808-73C05A3B0F26}">
            <xm:f>dropdown!$A$4</xm:f>
            <x14:dxf>
              <fill>
                <patternFill>
                  <bgColor rgb="FFFF7C80"/>
                </patternFill>
              </fill>
            </x14:dxf>
          </x14:cfRule>
          <x14:cfRule type="cellIs" priority="30" operator="equal" id="{D6FCBFC7-5441-4A6F-B1A9-4BD8E2D0E5BD}">
            <xm:f>dropdown!$A$5</xm:f>
            <x14:dxf>
              <fill>
                <patternFill>
                  <bgColor rgb="FFCC99FF"/>
                </patternFill>
              </fill>
            </x14:dxf>
          </x14:cfRule>
          <xm:sqref>E30</xm:sqref>
        </x14:conditionalFormatting>
        <x14:conditionalFormatting xmlns:xm="http://schemas.microsoft.com/office/excel/2006/main">
          <x14:cfRule type="cellIs" priority="25" operator="equal" id="{0C362953-AEE5-4F4C-BDA7-2A7BAA16AC79}">
            <xm:f>dropdown!$A$7</xm:f>
            <x14:dxf>
              <fill>
                <patternFill>
                  <bgColor rgb="FFD85659"/>
                </patternFill>
              </fill>
            </x14:dxf>
          </x14:cfRule>
          <xm:sqref>E30</xm:sqref>
        </x14:conditionalFormatting>
        <x14:conditionalFormatting xmlns:xm="http://schemas.microsoft.com/office/excel/2006/main">
          <x14:cfRule type="cellIs" priority="20" operator="equal" id="{AEAB3B29-EB22-4B3B-A65B-4AA13D5BD8EF}">
            <xm:f>dropdown!$A$6</xm:f>
            <x14:dxf>
              <fill>
                <patternFill>
                  <bgColor rgb="FFDE00A4"/>
                </patternFill>
              </fill>
            </x14:dxf>
          </x14:cfRule>
          <x14:cfRule type="cellIs" priority="21" operator="equal" id="{23C00119-AFF9-4ADC-AE5F-95093B7C183C}">
            <xm:f>dropdown!$A$4</xm:f>
            <x14:dxf>
              <fill>
                <patternFill>
                  <bgColor rgb="FFFF7C80"/>
                </patternFill>
              </fill>
            </x14:dxf>
          </x14:cfRule>
          <x14:cfRule type="cellIs" priority="22" operator="equal" id="{28C0B499-5BA1-4802-AA9B-2B9CACB612F2}">
            <xm:f>dropdown!$A$5</xm:f>
            <x14:dxf>
              <fill>
                <patternFill>
                  <bgColor rgb="FFCC99FF"/>
                </patternFill>
              </fill>
            </x14:dxf>
          </x14:cfRule>
          <x14:cfRule type="cellIs" priority="23" operator="equal" id="{D3E7C5FA-5DCD-4AD7-8231-4ADA950A5E0A}">
            <xm:f>dropdown!$A$4</xm:f>
            <x14:dxf>
              <fill>
                <patternFill>
                  <bgColor rgb="FFFF7C80"/>
                </patternFill>
              </fill>
            </x14:dxf>
          </x14:cfRule>
          <x14:cfRule type="cellIs" priority="24" operator="equal" id="{4AAACAD2-2753-4982-892D-DB4702CE3E44}">
            <xm:f>dropdown!$A$5</xm:f>
            <x14:dxf>
              <fill>
                <patternFill>
                  <bgColor rgb="FFCC99FF"/>
                </patternFill>
              </fill>
            </x14:dxf>
          </x14:cfRule>
          <xm:sqref>E31</xm:sqref>
        </x14:conditionalFormatting>
        <x14:conditionalFormatting xmlns:xm="http://schemas.microsoft.com/office/excel/2006/main">
          <x14:cfRule type="cellIs" priority="19" operator="equal" id="{29023B58-FF19-48CF-A424-DB5F8E966153}">
            <xm:f>dropdown!$A$7</xm:f>
            <x14:dxf>
              <fill>
                <patternFill>
                  <bgColor rgb="FFD85659"/>
                </patternFill>
              </fill>
            </x14:dxf>
          </x14:cfRule>
          <xm:sqref>E31</xm:sqref>
        </x14:conditionalFormatting>
        <x14:conditionalFormatting xmlns:xm="http://schemas.microsoft.com/office/excel/2006/main">
          <x14:cfRule type="cellIs" priority="14" operator="equal" id="{17CB397C-8634-4FC5-891E-77CF158F8824}">
            <xm:f>dropdown!$A$6</xm:f>
            <x14:dxf>
              <fill>
                <patternFill>
                  <bgColor rgb="FFDE00A4"/>
                </patternFill>
              </fill>
            </x14:dxf>
          </x14:cfRule>
          <x14:cfRule type="cellIs" priority="15" operator="equal" id="{BAA395A5-8039-405B-A331-CF26CC683013}">
            <xm:f>dropdown!$A$4</xm:f>
            <x14:dxf>
              <fill>
                <patternFill>
                  <bgColor rgb="FFFF7C80"/>
                </patternFill>
              </fill>
            </x14:dxf>
          </x14:cfRule>
          <x14:cfRule type="cellIs" priority="16" operator="equal" id="{BB9D384E-FD16-417D-86D2-D772C7BC017A}">
            <xm:f>dropdown!$A$5</xm:f>
            <x14:dxf>
              <fill>
                <patternFill>
                  <bgColor rgb="FFCC99FF"/>
                </patternFill>
              </fill>
            </x14:dxf>
          </x14:cfRule>
          <x14:cfRule type="cellIs" priority="17" operator="equal" id="{96AF735F-A851-42F4-AE32-1E3CE1118CA5}">
            <xm:f>dropdown!$A$4</xm:f>
            <x14:dxf>
              <fill>
                <patternFill>
                  <bgColor rgb="FFFF7C80"/>
                </patternFill>
              </fill>
            </x14:dxf>
          </x14:cfRule>
          <x14:cfRule type="cellIs" priority="18" operator="equal" id="{696B8E33-E261-426A-8DF2-E71E08B5D6DB}">
            <xm:f>dropdown!$A$5</xm:f>
            <x14:dxf>
              <fill>
                <patternFill>
                  <bgColor rgb="FFCC99FF"/>
                </patternFill>
              </fill>
            </x14:dxf>
          </x14:cfRule>
          <xm:sqref>E31</xm:sqref>
        </x14:conditionalFormatting>
        <x14:conditionalFormatting xmlns:xm="http://schemas.microsoft.com/office/excel/2006/main">
          <x14:cfRule type="cellIs" priority="13" operator="equal" id="{BBCE1A8E-8A62-48C7-B87B-6C47A0BD7DF3}">
            <xm:f>dropdown!$A$7</xm:f>
            <x14:dxf>
              <fill>
                <patternFill>
                  <bgColor rgb="FFD85659"/>
                </patternFill>
              </fill>
            </x14:dxf>
          </x14:cfRule>
          <xm:sqref>E31</xm:sqref>
        </x14:conditionalFormatting>
        <x14:conditionalFormatting xmlns:xm="http://schemas.microsoft.com/office/excel/2006/main">
          <x14:cfRule type="cellIs" priority="8" operator="equal" id="{37B282AC-1308-41FB-BF16-C815C4790B37}">
            <xm:f>dropdown!$A$6</xm:f>
            <x14:dxf>
              <fill>
                <patternFill>
                  <bgColor rgb="FFDE00A4"/>
                </patternFill>
              </fill>
            </x14:dxf>
          </x14:cfRule>
          <x14:cfRule type="cellIs" priority="9" operator="equal" id="{515EACED-0ADD-4C92-9072-EAB67A7F1EDC}">
            <xm:f>dropdown!$A$4</xm:f>
            <x14:dxf>
              <fill>
                <patternFill>
                  <bgColor rgb="FFFF7C80"/>
                </patternFill>
              </fill>
            </x14:dxf>
          </x14:cfRule>
          <x14:cfRule type="cellIs" priority="10" operator="equal" id="{3FE70172-850D-45BA-8699-DFAFAB7EAD6F}">
            <xm:f>dropdown!$A$5</xm:f>
            <x14:dxf>
              <fill>
                <patternFill>
                  <bgColor rgb="FFCC99FF"/>
                </patternFill>
              </fill>
            </x14:dxf>
          </x14:cfRule>
          <x14:cfRule type="cellIs" priority="11" operator="equal" id="{1A5C008D-91D1-4DA1-84DE-B895663996B4}">
            <xm:f>dropdown!$A$4</xm:f>
            <x14:dxf>
              <fill>
                <patternFill>
                  <bgColor rgb="FFFF7C80"/>
                </patternFill>
              </fill>
            </x14:dxf>
          </x14:cfRule>
          <x14:cfRule type="cellIs" priority="12" operator="equal" id="{BE5D0B2D-6827-4870-B3D2-51CCCB509DBF}">
            <xm:f>dropdown!$A$5</xm:f>
            <x14:dxf>
              <fill>
                <patternFill>
                  <bgColor rgb="FFCC99FF"/>
                </patternFill>
              </fill>
            </x14:dxf>
          </x14:cfRule>
          <xm:sqref>E32</xm:sqref>
        </x14:conditionalFormatting>
        <x14:conditionalFormatting xmlns:xm="http://schemas.microsoft.com/office/excel/2006/main">
          <x14:cfRule type="cellIs" priority="7" operator="equal" id="{5676BE25-C0E5-41EA-864A-A6FEA2DF509E}">
            <xm:f>dropdown!$A$7</xm:f>
            <x14:dxf>
              <fill>
                <patternFill>
                  <bgColor rgb="FFD85659"/>
                </patternFill>
              </fill>
            </x14:dxf>
          </x14:cfRule>
          <xm:sqref>E32</xm:sqref>
        </x14:conditionalFormatting>
        <x14:conditionalFormatting xmlns:xm="http://schemas.microsoft.com/office/excel/2006/main">
          <x14:cfRule type="cellIs" priority="2" operator="equal" id="{74406C1B-F661-4066-9FAE-412FA40178E1}">
            <xm:f>dropdown!$A$6</xm:f>
            <x14:dxf>
              <fill>
                <patternFill>
                  <bgColor rgb="FFDE00A4"/>
                </patternFill>
              </fill>
            </x14:dxf>
          </x14:cfRule>
          <x14:cfRule type="cellIs" priority="3" operator="equal" id="{32FEA216-328E-4EDD-98AE-3195AE232F61}">
            <xm:f>dropdown!$A$4</xm:f>
            <x14:dxf>
              <fill>
                <patternFill>
                  <bgColor rgb="FFFF7C80"/>
                </patternFill>
              </fill>
            </x14:dxf>
          </x14:cfRule>
          <x14:cfRule type="cellIs" priority="4" operator="equal" id="{D8672F83-C58A-42F9-84B8-65D3CB41C062}">
            <xm:f>dropdown!$A$5</xm:f>
            <x14:dxf>
              <fill>
                <patternFill>
                  <bgColor rgb="FFCC99FF"/>
                </patternFill>
              </fill>
            </x14:dxf>
          </x14:cfRule>
          <x14:cfRule type="cellIs" priority="5" operator="equal" id="{0ED24C2C-3136-4D4B-B443-FCF64AAE575B}">
            <xm:f>dropdown!$A$4</xm:f>
            <x14:dxf>
              <fill>
                <patternFill>
                  <bgColor rgb="FFFF7C80"/>
                </patternFill>
              </fill>
            </x14:dxf>
          </x14:cfRule>
          <x14:cfRule type="cellIs" priority="6" operator="equal" id="{77B4D951-0D8C-4717-A35D-0790CED047D1}">
            <xm:f>dropdown!$A$5</xm:f>
            <x14:dxf>
              <fill>
                <patternFill>
                  <bgColor rgb="FFCC99FF"/>
                </patternFill>
              </fill>
            </x14:dxf>
          </x14:cfRule>
          <xm:sqref>E35:E36</xm:sqref>
        </x14:conditionalFormatting>
        <x14:conditionalFormatting xmlns:xm="http://schemas.microsoft.com/office/excel/2006/main">
          <x14:cfRule type="cellIs" priority="1" operator="equal" id="{003F831E-FD6A-4FC2-B0C0-8EC5F522FE4A}">
            <xm:f>dropdown!$A$7</xm:f>
            <x14:dxf>
              <fill>
                <patternFill>
                  <bgColor rgb="FFD85659"/>
                </patternFill>
              </fill>
            </x14:dxf>
          </x14:cfRule>
          <xm:sqref>E35:E36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05079BC-D335-476E-B4C3-5F17352B00E6}">
          <x14:formula1>
            <xm:f>dropdown!$A$2:$A$9</xm:f>
          </x14:formula1>
          <xm:sqref>E1:E1048576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autoPageBreaks="0"/>
  </sheetPr>
  <dimension ref="A1:V2182"/>
  <sheetViews>
    <sheetView tabSelected="1" zoomScaleNormal="100" workbookViewId="0">
      <pane ySplit="1" topLeftCell="A2" activePane="bottomLeft" state="frozen"/>
      <selection activeCell="C8" sqref="C8"/>
      <selection pane="bottomLeft" activeCell="E4" sqref="E4"/>
    </sheetView>
  </sheetViews>
  <sheetFormatPr defaultRowHeight="15"/>
  <cols>
    <col min="1" max="1" width="12.140625" style="1" customWidth="1"/>
    <col min="2" max="2" width="16" customWidth="1"/>
    <col min="3" max="3" width="13.5703125" style="5" customWidth="1"/>
    <col min="4" max="4" width="4.140625" hidden="1" customWidth="1"/>
    <col min="5" max="5" width="15.42578125" style="5" customWidth="1"/>
    <col min="6" max="6" width="10.140625" style="103" customWidth="1"/>
    <col min="7" max="7" width="3" style="11" customWidth="1"/>
    <col min="8" max="8" width="33" customWidth="1"/>
    <col min="9" max="9" width="9.140625" hidden="1" customWidth="1"/>
    <col min="10" max="10" width="9.7109375" hidden="1" customWidth="1"/>
    <col min="11" max="11" width="3.42578125" hidden="1" customWidth="1"/>
    <col min="12" max="12" width="4.5703125" customWidth="1"/>
    <col min="13" max="13" width="20.28515625" customWidth="1"/>
    <col min="14" max="14" width="9.140625" hidden="1" customWidth="1"/>
    <col min="15" max="16" width="9.140625" customWidth="1"/>
  </cols>
  <sheetData>
    <row r="1" spans="1:22" ht="15.75" customHeight="1">
      <c r="A1" s="17" t="s">
        <v>0</v>
      </c>
      <c r="B1" s="18" t="s">
        <v>1</v>
      </c>
      <c r="C1" s="17" t="s">
        <v>2</v>
      </c>
      <c r="D1" s="19"/>
      <c r="E1" s="17" t="s">
        <v>3</v>
      </c>
      <c r="H1" s="26"/>
      <c r="I1" t="s">
        <v>6</v>
      </c>
    </row>
    <row r="2" spans="1:22" ht="15.75" customHeight="1" thickBot="1">
      <c r="A2" s="329">
        <f t="shared" ref="A2:A9" ca="1" si="0">IF(B2="","",IF(A2="",TODAY(),A2))</f>
        <v>44798</v>
      </c>
      <c r="B2" s="330" t="s">
        <v>666</v>
      </c>
      <c r="C2" s="331">
        <v>273095019</v>
      </c>
      <c r="D2" s="11"/>
      <c r="E2" s="2" t="s">
        <v>42</v>
      </c>
      <c r="F2" s="103">
        <v>44798</v>
      </c>
      <c r="H2" s="58" t="s">
        <v>4</v>
      </c>
      <c r="I2" s="11"/>
      <c r="J2" s="11"/>
      <c r="K2" s="11"/>
      <c r="L2" s="11"/>
      <c r="M2" s="6" t="s">
        <v>5</v>
      </c>
    </row>
    <row r="3" spans="1:22" ht="15.75" customHeight="1" thickBot="1">
      <c r="A3" s="8">
        <f t="shared" ca="1" si="0"/>
        <v>44799</v>
      </c>
      <c r="B3" s="12" t="s">
        <v>694</v>
      </c>
      <c r="C3" s="4">
        <v>273110109</v>
      </c>
      <c r="D3" s="11"/>
      <c r="E3" s="2" t="s">
        <v>42</v>
      </c>
      <c r="F3" s="103">
        <v>44799</v>
      </c>
      <c r="H3" s="350">
        <f ca="1">WORKDAY(TODAY(),10)</f>
        <v>44840</v>
      </c>
      <c r="I3" s="11"/>
      <c r="J3" s="11"/>
      <c r="K3" s="11"/>
      <c r="L3" s="11"/>
      <c r="M3" s="2" t="s">
        <v>200</v>
      </c>
      <c r="R3" s="490" t="s">
        <v>933</v>
      </c>
      <c r="S3" s="491"/>
      <c r="T3" s="491"/>
      <c r="U3" s="491"/>
      <c r="V3" s="492"/>
    </row>
    <row r="4" spans="1:22" ht="15.75" customHeight="1">
      <c r="A4" s="8">
        <f t="shared" ca="1" si="0"/>
        <v>44802</v>
      </c>
      <c r="B4" s="12" t="s">
        <v>698</v>
      </c>
      <c r="C4" s="4">
        <v>273910203</v>
      </c>
      <c r="D4" s="11"/>
      <c r="E4" s="2" t="s">
        <v>42</v>
      </c>
      <c r="F4" s="103">
        <v>44802</v>
      </c>
      <c r="H4" s="351"/>
      <c r="I4" s="11" t="s">
        <v>247</v>
      </c>
      <c r="J4" s="11"/>
      <c r="K4" s="11"/>
      <c r="L4" s="11"/>
      <c r="M4" s="2" t="s">
        <v>201</v>
      </c>
      <c r="R4" s="480" t="s">
        <v>936</v>
      </c>
      <c r="S4" s="481"/>
      <c r="T4" s="481"/>
      <c r="U4" s="481"/>
      <c r="V4" s="482"/>
    </row>
    <row r="5" spans="1:22" ht="15.75" customHeight="1">
      <c r="A5" s="329">
        <f t="shared" ca="1" si="0"/>
        <v>44805</v>
      </c>
      <c r="B5" s="330" t="s">
        <v>731</v>
      </c>
      <c r="C5" s="331">
        <v>275674082</v>
      </c>
      <c r="D5" s="11"/>
      <c r="E5" s="2" t="s">
        <v>42</v>
      </c>
      <c r="F5" s="103">
        <v>44805</v>
      </c>
      <c r="H5" s="11"/>
      <c r="I5" s="11" t="str">
        <f>_xlfn.TEXTJOIN( ",  ",TRUE,M3:M24)</f>
        <v>Luis Sanchez-Mendez,  JUAN RODRIGUEZ</v>
      </c>
      <c r="J5" s="11"/>
      <c r="K5" s="11"/>
      <c r="L5" s="11"/>
      <c r="M5" s="2"/>
      <c r="R5" s="480"/>
      <c r="S5" s="481"/>
      <c r="T5" s="481"/>
      <c r="U5" s="481"/>
      <c r="V5" s="482"/>
    </row>
    <row r="6" spans="1:22" ht="15.75" customHeight="1">
      <c r="A6" s="8">
        <f t="shared" ca="1" si="0"/>
        <v>44812</v>
      </c>
      <c r="B6" s="12" t="s">
        <v>781</v>
      </c>
      <c r="C6" s="4">
        <v>276283077</v>
      </c>
      <c r="D6" s="11"/>
      <c r="E6" s="2" t="s">
        <v>782</v>
      </c>
      <c r="F6" s="103">
        <v>44812</v>
      </c>
      <c r="H6" s="63" t="s">
        <v>8</v>
      </c>
      <c r="I6" s="11"/>
      <c r="J6" s="11"/>
      <c r="K6" s="11"/>
      <c r="L6" s="11"/>
      <c r="M6" s="2"/>
      <c r="R6" s="480"/>
      <c r="S6" s="481"/>
      <c r="T6" s="481"/>
      <c r="U6" s="481"/>
      <c r="V6" s="482"/>
    </row>
    <row r="7" spans="1:22" ht="15.75" customHeight="1">
      <c r="A7" s="8">
        <f t="shared" ca="1" si="0"/>
        <v>44812</v>
      </c>
      <c r="B7" s="12" t="s">
        <v>791</v>
      </c>
      <c r="C7" s="4">
        <v>276698900</v>
      </c>
      <c r="D7" s="11"/>
      <c r="E7" s="2" t="s">
        <v>42</v>
      </c>
      <c r="H7" s="361" t="str">
        <f>CONCATENATE(I4, I5, ".")</f>
        <v>Please review the requests in the spreadsheet attached for the defendants Luis Sanchez-Mendez,  JUAN RODRIGUEZ.</v>
      </c>
      <c r="I7" s="21" t="s">
        <v>21</v>
      </c>
      <c r="J7" s="22" t="s">
        <v>22</v>
      </c>
      <c r="K7" s="11"/>
      <c r="L7" s="11" t="s">
        <v>6</v>
      </c>
      <c r="M7" s="2"/>
      <c r="R7" s="480"/>
      <c r="S7" s="481"/>
      <c r="T7" s="481"/>
      <c r="U7" s="481"/>
      <c r="V7" s="482"/>
    </row>
    <row r="8" spans="1:22" s="11" customFormat="1" ht="15.75" customHeight="1">
      <c r="A8" s="8">
        <f t="shared" ca="1" si="0"/>
        <v>44812</v>
      </c>
      <c r="B8" s="12" t="s">
        <v>792</v>
      </c>
      <c r="C8" s="4">
        <v>276745282</v>
      </c>
      <c r="E8" s="2" t="s">
        <v>42</v>
      </c>
      <c r="F8" s="103"/>
      <c r="H8" s="362"/>
      <c r="I8" s="148" t="s">
        <v>29</v>
      </c>
      <c r="J8" s="147" t="s">
        <v>347</v>
      </c>
      <c r="M8" s="2"/>
      <c r="R8" s="480"/>
      <c r="S8" s="481"/>
      <c r="T8" s="481"/>
      <c r="U8" s="481"/>
      <c r="V8" s="482"/>
    </row>
    <row r="9" spans="1:22" ht="15.75" customHeight="1">
      <c r="A9" s="8">
        <f t="shared" ca="1" si="0"/>
        <v>44816</v>
      </c>
      <c r="B9" s="12" t="s">
        <v>794</v>
      </c>
      <c r="C9" s="4">
        <v>274187107</v>
      </c>
      <c r="D9" s="11"/>
      <c r="E9" s="336" t="s">
        <v>793</v>
      </c>
      <c r="H9" s="362"/>
      <c r="I9" s="142"/>
      <c r="J9" s="141"/>
      <c r="K9" s="11"/>
      <c r="L9" s="11" t="s">
        <v>6</v>
      </c>
      <c r="M9" s="2"/>
      <c r="R9" s="480"/>
      <c r="S9" s="481"/>
      <c r="T9" s="481"/>
      <c r="U9" s="481"/>
      <c r="V9" s="482"/>
    </row>
    <row r="10" spans="1:22" ht="15.75" customHeight="1">
      <c r="A10" s="8">
        <f t="shared" ref="A10:A73" ca="1" si="1">IF(B10="","",IF(A10="",TODAY(),A10))</f>
        <v>44824</v>
      </c>
      <c r="B10" s="12" t="s">
        <v>895</v>
      </c>
      <c r="C10" s="12">
        <v>277664146</v>
      </c>
      <c r="D10" s="11"/>
      <c r="E10" s="346" t="s">
        <v>896</v>
      </c>
      <c r="H10" s="363"/>
      <c r="I10" s="142" t="s">
        <v>29</v>
      </c>
      <c r="J10" s="143" t="s">
        <v>28</v>
      </c>
      <c r="K10" s="11"/>
      <c r="L10" s="11" t="s">
        <v>6</v>
      </c>
      <c r="M10" s="2"/>
      <c r="R10" s="480"/>
      <c r="S10" s="481"/>
      <c r="T10" s="481"/>
      <c r="U10" s="481"/>
      <c r="V10" s="482"/>
    </row>
    <row r="11" spans="1:22" ht="15.75" customHeight="1">
      <c r="A11" s="8" t="str">
        <f t="shared" ca="1" si="1"/>
        <v/>
      </c>
      <c r="B11" s="12"/>
      <c r="C11" s="4"/>
      <c r="D11" s="11"/>
      <c r="E11" s="2"/>
      <c r="H11" s="11"/>
      <c r="I11" s="142"/>
      <c r="J11" s="143"/>
      <c r="K11" s="11"/>
      <c r="L11" s="11" t="s">
        <v>6</v>
      </c>
      <c r="M11" s="2"/>
      <c r="R11" s="480"/>
      <c r="S11" s="481"/>
      <c r="T11" s="481"/>
      <c r="U11" s="481"/>
      <c r="V11" s="482"/>
    </row>
    <row r="12" spans="1:22" ht="15.75" customHeight="1">
      <c r="A12" s="8" t="str">
        <f t="shared" ca="1" si="1"/>
        <v/>
      </c>
      <c r="B12" s="12"/>
      <c r="C12" s="4"/>
      <c r="D12" s="11"/>
      <c r="E12" s="2"/>
      <c r="H12" s="326" t="s">
        <v>9</v>
      </c>
      <c r="I12" s="142" t="s">
        <v>29</v>
      </c>
      <c r="J12" s="144" t="s">
        <v>25</v>
      </c>
      <c r="K12" s="11"/>
      <c r="L12" s="11" t="s">
        <v>6</v>
      </c>
      <c r="M12" s="2"/>
      <c r="R12" s="480"/>
      <c r="S12" s="481"/>
      <c r="T12" s="481"/>
      <c r="U12" s="481"/>
      <c r="V12" s="482"/>
    </row>
    <row r="13" spans="1:22" ht="15.75" customHeight="1">
      <c r="A13" s="8" t="str">
        <f t="shared" ca="1" si="1"/>
        <v/>
      </c>
      <c r="B13" s="12"/>
      <c r="C13" s="4"/>
      <c r="D13" s="11"/>
      <c r="E13" s="2"/>
      <c r="H13" s="60" t="s">
        <v>345</v>
      </c>
      <c r="I13" s="142"/>
      <c r="J13" s="144"/>
      <c r="K13" s="11"/>
      <c r="L13" s="11" t="s">
        <v>6</v>
      </c>
      <c r="M13" s="2"/>
      <c r="R13" s="480"/>
      <c r="S13" s="481"/>
      <c r="T13" s="481"/>
      <c r="U13" s="481"/>
      <c r="V13" s="482"/>
    </row>
    <row r="14" spans="1:22" ht="15.75" customHeight="1" thickBot="1">
      <c r="A14" s="8" t="str">
        <f t="shared" ca="1" si="1"/>
        <v/>
      </c>
      <c r="B14" s="12"/>
      <c r="C14" s="4"/>
      <c r="D14" s="11"/>
      <c r="E14" s="2"/>
      <c r="H14" s="61" t="s">
        <v>736</v>
      </c>
      <c r="I14" s="142" t="s">
        <v>29</v>
      </c>
      <c r="J14" s="145" t="s">
        <v>26</v>
      </c>
      <c r="K14" s="11"/>
      <c r="L14" s="11" t="s">
        <v>6</v>
      </c>
      <c r="M14" s="2"/>
      <c r="R14" s="483"/>
      <c r="S14" s="484"/>
      <c r="T14" s="484"/>
      <c r="U14" s="484"/>
      <c r="V14" s="485"/>
    </row>
    <row r="15" spans="1:22" ht="15.75" customHeight="1">
      <c r="A15" s="8" t="str">
        <f t="shared" ca="1" si="1"/>
        <v/>
      </c>
      <c r="B15" s="12"/>
      <c r="C15" s="4"/>
      <c r="D15" s="11"/>
      <c r="E15" s="2"/>
      <c r="H15" s="325" t="s">
        <v>319</v>
      </c>
      <c r="I15" s="142"/>
      <c r="J15" s="145"/>
      <c r="K15" s="11"/>
      <c r="L15" s="11" t="s">
        <v>6</v>
      </c>
      <c r="M15" s="2"/>
    </row>
    <row r="16" spans="1:22" ht="15.75" customHeight="1">
      <c r="A16" s="8" t="str">
        <f t="shared" ca="1" si="1"/>
        <v/>
      </c>
      <c r="B16" s="12"/>
      <c r="C16" s="4"/>
      <c r="D16" s="11"/>
      <c r="E16" s="2"/>
      <c r="H16" s="327" t="s">
        <v>111</v>
      </c>
      <c r="I16" s="142" t="s">
        <v>29</v>
      </c>
      <c r="J16" s="146" t="s">
        <v>27</v>
      </c>
      <c r="K16" s="11"/>
      <c r="L16" s="11" t="s">
        <v>6</v>
      </c>
      <c r="M16" s="2"/>
    </row>
    <row r="17" spans="1:13" ht="15.75" customHeight="1">
      <c r="A17" s="8" t="str">
        <f t="shared" ca="1" si="1"/>
        <v/>
      </c>
      <c r="B17" s="12"/>
      <c r="C17" s="4"/>
      <c r="D17" s="11"/>
      <c r="E17" s="2"/>
      <c r="H17" s="328" t="s">
        <v>332</v>
      </c>
      <c r="I17" s="142"/>
      <c r="J17" s="146"/>
      <c r="K17" s="11"/>
      <c r="L17" s="11" t="s">
        <v>6</v>
      </c>
      <c r="M17" s="2"/>
    </row>
    <row r="18" spans="1:13" ht="15.75" customHeight="1">
      <c r="A18" s="8" t="str">
        <f t="shared" ca="1" si="1"/>
        <v/>
      </c>
      <c r="B18" s="12"/>
      <c r="C18" s="4"/>
      <c r="D18" s="11"/>
      <c r="E18" s="2"/>
      <c r="H18" s="137" t="s">
        <v>298</v>
      </c>
      <c r="I18" s="20"/>
      <c r="J18" s="20"/>
      <c r="K18" s="11"/>
      <c r="L18" s="11" t="s">
        <v>6</v>
      </c>
      <c r="M18" s="2"/>
    </row>
    <row r="19" spans="1:13" ht="15.75" customHeight="1">
      <c r="A19" s="8" t="str">
        <f t="shared" ca="1" si="1"/>
        <v/>
      </c>
      <c r="B19" s="12"/>
      <c r="C19" s="4"/>
      <c r="D19" s="11"/>
      <c r="E19" s="2"/>
      <c r="I19" s="20"/>
      <c r="J19" s="20"/>
      <c r="K19" s="11"/>
      <c r="L19" s="11" t="s">
        <v>6</v>
      </c>
      <c r="M19" s="2"/>
    </row>
    <row r="20" spans="1:13" ht="15.75" customHeight="1">
      <c r="A20" s="8" t="str">
        <f t="shared" ca="1" si="1"/>
        <v/>
      </c>
      <c r="B20" s="12"/>
      <c r="C20" s="4"/>
      <c r="D20" s="11"/>
      <c r="E20" s="2"/>
      <c r="I20" s="20"/>
      <c r="J20" s="20"/>
      <c r="K20" s="11"/>
      <c r="L20" s="11" t="s">
        <v>6</v>
      </c>
      <c r="M20" s="2"/>
    </row>
    <row r="21" spans="1:13" ht="15.75" customHeight="1">
      <c r="A21" s="8" t="str">
        <f t="shared" ca="1" si="1"/>
        <v/>
      </c>
      <c r="B21" s="12"/>
      <c r="C21" s="4"/>
      <c r="D21" s="11"/>
      <c r="E21" s="2"/>
      <c r="H21" s="11"/>
      <c r="I21" s="20"/>
      <c r="J21" s="20"/>
      <c r="K21" s="11"/>
      <c r="L21" s="11" t="s">
        <v>6</v>
      </c>
      <c r="M21" s="2"/>
    </row>
    <row r="22" spans="1:13" ht="15.75" customHeight="1">
      <c r="A22" s="8" t="str">
        <f t="shared" ca="1" si="1"/>
        <v/>
      </c>
      <c r="B22" s="12"/>
      <c r="C22" s="4"/>
      <c r="D22" s="11"/>
      <c r="E22" s="2"/>
      <c r="H22" s="23" t="s">
        <v>23</v>
      </c>
      <c r="I22" s="20"/>
      <c r="J22" s="20"/>
      <c r="K22" s="11"/>
      <c r="L22" s="11" t="s">
        <v>6</v>
      </c>
      <c r="M22" s="2"/>
    </row>
    <row r="23" spans="1:13" ht="15.75" customHeight="1">
      <c r="A23" s="8" t="str">
        <f t="shared" ca="1" si="1"/>
        <v/>
      </c>
      <c r="B23" s="12"/>
      <c r="C23" s="4"/>
      <c r="D23" s="11"/>
      <c r="E23" s="2"/>
      <c r="H23" s="372" t="str">
        <f ca="1">I8&amp;TEXT(TODAY(),"mm.dd")&amp;TEXT(J8,".00")</f>
        <v>Kschwartz ACC CrimInfoVer09.22b1</v>
      </c>
      <c r="I23" s="20"/>
      <c r="J23" s="20"/>
      <c r="K23" s="7"/>
      <c r="L23" s="11" t="s">
        <v>6</v>
      </c>
      <c r="M23" s="2"/>
    </row>
    <row r="24" spans="1:13" ht="15.75" customHeight="1">
      <c r="A24" s="8" t="str">
        <f t="shared" ca="1" si="1"/>
        <v/>
      </c>
      <c r="B24" s="12"/>
      <c r="C24" s="4"/>
      <c r="D24" s="11"/>
      <c r="E24" s="2"/>
      <c r="H24" s="373"/>
      <c r="I24" s="20"/>
      <c r="J24" s="20"/>
      <c r="K24" s="7"/>
      <c r="L24" s="11" t="s">
        <v>6</v>
      </c>
      <c r="M24" s="3"/>
    </row>
    <row r="25" spans="1:13" ht="15.75" customHeight="1">
      <c r="A25" s="8" t="str">
        <f t="shared" ca="1" si="1"/>
        <v/>
      </c>
      <c r="B25" s="12"/>
      <c r="C25" s="4"/>
      <c r="D25" s="11"/>
      <c r="E25" s="2"/>
      <c r="H25" s="364" t="str">
        <f ca="1">I10&amp;TEXT(TODAY(),"mm.dd")&amp;TEXT(J10,".00")</f>
        <v xml:space="preserve">Kschwartz ACC CrimInfoVer09.22 b2 </v>
      </c>
      <c r="I25" s="20"/>
      <c r="J25" s="20"/>
      <c r="K25" s="11"/>
      <c r="L25" s="11" t="s">
        <v>6</v>
      </c>
      <c r="M25" s="11"/>
    </row>
    <row r="26" spans="1:13" ht="15.75" customHeight="1">
      <c r="A26" s="8" t="str">
        <f t="shared" ca="1" si="1"/>
        <v/>
      </c>
      <c r="B26" s="12"/>
      <c r="C26" s="4"/>
      <c r="D26" s="11"/>
      <c r="E26" s="2"/>
      <c r="H26" s="365"/>
      <c r="I26" s="20"/>
      <c r="J26" s="20"/>
      <c r="K26" s="11"/>
      <c r="L26" s="11"/>
      <c r="M26" s="11"/>
    </row>
    <row r="27" spans="1:13" ht="16.5" customHeight="1">
      <c r="A27" s="8" t="str">
        <f t="shared" ca="1" si="1"/>
        <v/>
      </c>
      <c r="B27" s="12"/>
      <c r="C27" s="4"/>
      <c r="D27" s="11"/>
      <c r="E27" s="2"/>
      <c r="H27" s="370" t="str">
        <f ca="1">I12&amp;TEXT(TODAY(),"mm.dd")&amp;TEXT(J12,".00")</f>
        <v>Kschwartz ACC CrimInfoVer09.22 b3</v>
      </c>
      <c r="I27" s="20"/>
      <c r="J27" s="20"/>
      <c r="K27" s="11"/>
      <c r="L27" s="11"/>
      <c r="M27" s="151"/>
    </row>
    <row r="28" spans="1:13" ht="16.5" customHeight="1">
      <c r="A28" s="8" t="str">
        <f t="shared" ca="1" si="1"/>
        <v/>
      </c>
      <c r="B28" s="12"/>
      <c r="C28" s="4"/>
      <c r="D28" s="11"/>
      <c r="E28" s="2"/>
      <c r="H28" s="371"/>
      <c r="I28" s="11"/>
      <c r="J28" s="11"/>
      <c r="K28" s="11"/>
      <c r="L28" s="11" t="s">
        <v>6</v>
      </c>
      <c r="M28" s="11"/>
    </row>
    <row r="29" spans="1:13" ht="16.5" customHeight="1">
      <c r="A29" s="8" t="str">
        <f t="shared" ca="1" si="1"/>
        <v/>
      </c>
      <c r="B29" s="12"/>
      <c r="C29" s="4"/>
      <c r="D29" s="11"/>
      <c r="E29" s="2"/>
      <c r="H29" s="368" t="str">
        <f ca="1">I14&amp;TEXT(TODAY(),"mm.dd")&amp;TEXT(J14,".00")</f>
        <v xml:space="preserve">Kschwartz ACC CrimInfoVer09.22 b4 </v>
      </c>
      <c r="I29" s="11"/>
      <c r="J29" s="11"/>
      <c r="K29" s="11"/>
      <c r="L29" s="11" t="s">
        <v>6</v>
      </c>
      <c r="M29" s="11"/>
    </row>
    <row r="30" spans="1:13" ht="16.5" customHeight="1">
      <c r="A30" s="8" t="str">
        <f t="shared" ca="1" si="1"/>
        <v/>
      </c>
      <c r="B30" s="12"/>
      <c r="C30" s="4"/>
      <c r="D30" s="11"/>
      <c r="E30" s="2"/>
      <c r="H30" s="369"/>
      <c r="I30" s="11"/>
      <c r="J30" s="11"/>
      <c r="K30" s="11"/>
      <c r="L30" s="11" t="s">
        <v>6</v>
      </c>
      <c r="M30" s="324"/>
    </row>
    <row r="31" spans="1:13" ht="16.5" customHeight="1">
      <c r="A31" s="8" t="str">
        <f t="shared" ca="1" si="1"/>
        <v/>
      </c>
      <c r="B31" s="12"/>
      <c r="C31" s="4"/>
      <c r="D31" s="11"/>
      <c r="E31" s="2"/>
      <c r="H31" s="366" t="str">
        <f ca="1">I16&amp;TEXT(TODAY(),"mm.dd")&amp;TEXT(J16,".00")</f>
        <v>Kschwartz ACC CrimInfoVer09.22 b5</v>
      </c>
      <c r="I31" s="11"/>
      <c r="J31" s="11"/>
      <c r="K31" s="11"/>
      <c r="L31" s="11" t="s">
        <v>6</v>
      </c>
      <c r="M31" s="11"/>
    </row>
    <row r="32" spans="1:13" ht="16.5" customHeight="1">
      <c r="A32" s="8" t="str">
        <f t="shared" ca="1" si="1"/>
        <v/>
      </c>
      <c r="B32" s="12"/>
      <c r="C32" s="4"/>
      <c r="D32" s="11"/>
      <c r="E32" s="2"/>
      <c r="H32" s="367"/>
      <c r="I32" s="11"/>
      <c r="J32" s="11"/>
      <c r="K32" s="11"/>
      <c r="L32" s="11"/>
      <c r="M32" s="11"/>
    </row>
    <row r="33" spans="1:13" ht="16.5" customHeight="1">
      <c r="A33" s="8" t="str">
        <f t="shared" ca="1" si="1"/>
        <v/>
      </c>
      <c r="B33" s="12"/>
      <c r="C33" s="4"/>
      <c r="D33" s="11"/>
      <c r="E33" s="2"/>
      <c r="H33" s="136"/>
      <c r="I33" s="11"/>
      <c r="J33" s="11"/>
      <c r="K33" s="11"/>
      <c r="L33" s="11"/>
      <c r="M33" s="11"/>
    </row>
    <row r="34" spans="1:13" ht="16.5" customHeight="1">
      <c r="A34" s="8" t="str">
        <f t="shared" ca="1" si="1"/>
        <v/>
      </c>
      <c r="B34" s="12"/>
      <c r="C34" s="4"/>
      <c r="D34" s="11"/>
      <c r="E34" s="2"/>
      <c r="H34" s="141" t="s">
        <v>208</v>
      </c>
      <c r="I34" s="11"/>
      <c r="J34" s="11"/>
      <c r="K34" s="11"/>
      <c r="L34" s="11"/>
      <c r="M34" s="11"/>
    </row>
    <row r="35" spans="1:13" ht="16.5" customHeight="1">
      <c r="A35" s="8" t="str">
        <f t="shared" ca="1" si="1"/>
        <v/>
      </c>
      <c r="B35" s="12"/>
      <c r="C35" s="4"/>
      <c r="D35" s="11"/>
      <c r="E35" s="2"/>
      <c r="H35" s="350">
        <f ca="1">WORKDAY(TODAY(),10)</f>
        <v>44840</v>
      </c>
      <c r="I35" s="11"/>
      <c r="J35" s="11"/>
      <c r="K35" s="11"/>
      <c r="L35" s="11"/>
      <c r="M35" s="11"/>
    </row>
    <row r="36" spans="1:13" ht="16.5" customHeight="1">
      <c r="A36" s="8" t="str">
        <f t="shared" ca="1" si="1"/>
        <v/>
      </c>
      <c r="B36" s="12"/>
      <c r="C36" s="4"/>
      <c r="D36" s="11"/>
      <c r="E36" s="2"/>
      <c r="H36" s="351"/>
      <c r="I36" s="11"/>
      <c r="J36" s="11"/>
      <c r="K36" s="11"/>
      <c r="L36" s="11"/>
      <c r="M36" s="11"/>
    </row>
    <row r="37" spans="1:13" ht="16.5" customHeight="1">
      <c r="A37" s="8" t="str">
        <f t="shared" ca="1" si="1"/>
        <v/>
      </c>
      <c r="B37" s="12"/>
      <c r="C37" s="4"/>
      <c r="D37" s="11"/>
      <c r="E37" s="2"/>
      <c r="H37" s="11"/>
      <c r="I37" s="11"/>
      <c r="J37" s="11"/>
      <c r="K37" s="11"/>
      <c r="L37" s="11"/>
      <c r="M37" s="11"/>
    </row>
    <row r="38" spans="1:13" ht="16.5" customHeight="1">
      <c r="A38" s="8" t="str">
        <f t="shared" ca="1" si="1"/>
        <v/>
      </c>
      <c r="B38" s="12"/>
      <c r="C38" s="4"/>
      <c r="D38" s="11"/>
      <c r="E38" s="2"/>
      <c r="H38" s="11"/>
      <c r="I38" s="11"/>
      <c r="J38" s="11"/>
      <c r="K38" s="11"/>
      <c r="L38" s="11"/>
      <c r="M38" s="11"/>
    </row>
    <row r="39" spans="1:13" ht="16.5" customHeight="1">
      <c r="A39" s="8" t="str">
        <f t="shared" ca="1" si="1"/>
        <v/>
      </c>
      <c r="B39" s="12"/>
      <c r="C39" s="4"/>
      <c r="D39" s="11"/>
      <c r="E39" s="2"/>
      <c r="H39" s="11"/>
      <c r="I39" s="11"/>
      <c r="J39" s="11"/>
      <c r="K39" s="11"/>
      <c r="L39" s="11"/>
      <c r="M39" s="11"/>
    </row>
    <row r="40" spans="1:13" ht="16.5" customHeight="1" thickBot="1">
      <c r="A40" s="8" t="str">
        <f t="shared" ca="1" si="1"/>
        <v/>
      </c>
      <c r="B40" s="12"/>
      <c r="C40" s="4"/>
      <c r="D40" s="11"/>
      <c r="E40" s="2"/>
      <c r="H40" s="20"/>
      <c r="I40" s="11"/>
      <c r="J40" s="11"/>
      <c r="K40" s="11"/>
      <c r="L40" s="11" t="s">
        <v>6</v>
      </c>
      <c r="M40" s="11"/>
    </row>
    <row r="41" spans="1:13" ht="16.5" customHeight="1" thickBot="1">
      <c r="A41" s="8" t="str">
        <f t="shared" ca="1" si="1"/>
        <v/>
      </c>
      <c r="B41" s="12"/>
      <c r="C41" s="4"/>
      <c r="D41" s="11"/>
      <c r="E41" s="2"/>
      <c r="H41" s="66" t="s">
        <v>63</v>
      </c>
      <c r="I41" s="11"/>
      <c r="J41" s="11"/>
      <c r="K41" s="11"/>
      <c r="L41" s="11"/>
      <c r="M41" s="11"/>
    </row>
    <row r="42" spans="1:13" ht="16.5" customHeight="1">
      <c r="A42" s="8" t="str">
        <f t="shared" ca="1" si="1"/>
        <v/>
      </c>
      <c r="B42" s="12"/>
      <c r="C42" s="4"/>
      <c r="D42" s="11"/>
      <c r="E42" s="2"/>
      <c r="H42" s="67" t="s">
        <v>65</v>
      </c>
      <c r="I42" s="11"/>
      <c r="J42" s="11"/>
      <c r="K42" s="11"/>
      <c r="L42" s="11" t="s">
        <v>6</v>
      </c>
      <c r="M42" s="11"/>
    </row>
    <row r="43" spans="1:13" ht="16.5" customHeight="1">
      <c r="A43" s="8" t="str">
        <f t="shared" ca="1" si="1"/>
        <v/>
      </c>
      <c r="B43" s="12"/>
      <c r="C43" s="4"/>
      <c r="D43" s="11"/>
      <c r="E43" s="2"/>
      <c r="H43" s="65" t="s">
        <v>64</v>
      </c>
      <c r="I43" s="11"/>
      <c r="J43" s="11"/>
      <c r="K43" s="11"/>
      <c r="L43" s="11"/>
      <c r="M43" s="11"/>
    </row>
    <row r="44" spans="1:13" ht="16.5" customHeight="1">
      <c r="A44" s="8" t="str">
        <f t="shared" ca="1" si="1"/>
        <v/>
      </c>
      <c r="B44" s="12"/>
      <c r="C44" s="4"/>
      <c r="D44" s="11"/>
      <c r="E44" s="2"/>
      <c r="H44" s="68" t="s">
        <v>66</v>
      </c>
      <c r="I44" s="11"/>
      <c r="J44" s="11"/>
      <c r="K44" s="11"/>
      <c r="L44" s="11" t="s">
        <v>6</v>
      </c>
      <c r="M44" s="11"/>
    </row>
    <row r="45" spans="1:13" ht="16.5" customHeight="1">
      <c r="A45" s="8" t="str">
        <f t="shared" ca="1" si="1"/>
        <v/>
      </c>
      <c r="B45" s="12"/>
      <c r="C45" s="4"/>
      <c r="D45" s="11"/>
      <c r="E45" s="2"/>
      <c r="H45" s="14" t="s">
        <v>43</v>
      </c>
      <c r="I45" s="11"/>
      <c r="J45" s="11"/>
      <c r="K45" s="11"/>
      <c r="L45" s="11" t="s">
        <v>6</v>
      </c>
      <c r="M45" s="11"/>
    </row>
    <row r="46" spans="1:13" ht="16.5" customHeight="1">
      <c r="A46" s="8" t="str">
        <f t="shared" ca="1" si="1"/>
        <v/>
      </c>
      <c r="B46" s="12"/>
      <c r="C46" s="4"/>
      <c r="D46" s="11"/>
      <c r="E46" s="2"/>
      <c r="H46" s="11"/>
      <c r="I46" s="11"/>
      <c r="J46" s="11"/>
      <c r="K46" s="11"/>
      <c r="L46" s="11"/>
      <c r="M46" s="11"/>
    </row>
    <row r="47" spans="1:13" ht="16.5" customHeight="1">
      <c r="A47" s="8" t="str">
        <f t="shared" ca="1" si="1"/>
        <v/>
      </c>
      <c r="B47" s="12"/>
      <c r="C47" s="4"/>
      <c r="D47" s="11"/>
      <c r="E47" s="2"/>
      <c r="H47" s="11"/>
      <c r="I47" s="11"/>
      <c r="J47" s="11"/>
      <c r="K47" s="11"/>
      <c r="L47" s="11"/>
      <c r="M47" s="11"/>
    </row>
    <row r="48" spans="1:13" ht="16.5" customHeight="1">
      <c r="A48" s="8" t="str">
        <f t="shared" ca="1" si="1"/>
        <v/>
      </c>
      <c r="B48" s="12"/>
      <c r="C48" s="4"/>
      <c r="D48" s="11"/>
      <c r="E48" s="2"/>
      <c r="H48" s="11"/>
      <c r="I48" s="11"/>
      <c r="J48" s="11"/>
      <c r="K48" s="11"/>
      <c r="L48" s="11"/>
      <c r="M48" s="11"/>
    </row>
    <row r="49" spans="1:13" ht="16.5" customHeight="1">
      <c r="A49" s="8" t="str">
        <f t="shared" ca="1" si="1"/>
        <v/>
      </c>
      <c r="B49" s="12"/>
      <c r="C49" s="4"/>
      <c r="D49" s="11"/>
      <c r="E49" s="2"/>
      <c r="H49" s="12"/>
      <c r="I49" s="11"/>
      <c r="J49" s="11"/>
      <c r="K49" s="11"/>
      <c r="L49" s="11"/>
      <c r="M49" s="11"/>
    </row>
    <row r="50" spans="1:13" ht="16.5" customHeight="1">
      <c r="A50" s="8" t="str">
        <f t="shared" ca="1" si="1"/>
        <v/>
      </c>
      <c r="B50" s="12"/>
      <c r="C50" s="4"/>
      <c r="D50" s="11"/>
      <c r="E50" s="2"/>
      <c r="H50" s="11"/>
      <c r="I50" s="11"/>
      <c r="J50" s="11"/>
      <c r="K50" s="11"/>
      <c r="L50" s="11"/>
      <c r="M50" s="11"/>
    </row>
    <row r="51" spans="1:13" ht="16.5" customHeight="1">
      <c r="A51" s="8" t="str">
        <f t="shared" ca="1" si="1"/>
        <v/>
      </c>
      <c r="B51" s="12"/>
      <c r="C51" s="4"/>
      <c r="D51" s="11"/>
      <c r="E51" s="2"/>
      <c r="H51" s="141" t="s">
        <v>4</v>
      </c>
      <c r="I51" s="11"/>
      <c r="J51" s="11"/>
      <c r="K51" s="11"/>
      <c r="L51" s="11"/>
      <c r="M51" s="11"/>
    </row>
    <row r="52" spans="1:13" ht="16.5" customHeight="1">
      <c r="A52" s="8" t="str">
        <f t="shared" ca="1" si="1"/>
        <v/>
      </c>
      <c r="B52" s="12"/>
      <c r="C52" s="4"/>
      <c r="D52" s="11"/>
      <c r="E52" s="2"/>
      <c r="H52" s="350">
        <f ca="1">WORKDAY(TODAY(),5)</f>
        <v>44833</v>
      </c>
      <c r="I52" s="11"/>
      <c r="J52" s="11"/>
      <c r="K52" s="11"/>
      <c r="L52" s="11"/>
      <c r="M52" s="11"/>
    </row>
    <row r="53" spans="1:13" ht="16.5" customHeight="1">
      <c r="A53" s="8" t="str">
        <f t="shared" ca="1" si="1"/>
        <v/>
      </c>
      <c r="B53" s="12"/>
      <c r="C53" s="4"/>
      <c r="D53" s="11"/>
      <c r="E53" s="2"/>
      <c r="H53" s="351"/>
      <c r="I53" s="11"/>
      <c r="J53" s="11"/>
      <c r="K53" s="11"/>
      <c r="L53" s="11"/>
      <c r="M53" s="11"/>
    </row>
    <row r="54" spans="1:13">
      <c r="A54" s="8" t="str">
        <f t="shared" ca="1" si="1"/>
        <v/>
      </c>
      <c r="B54" s="12"/>
      <c r="C54" s="4"/>
      <c r="D54" s="11"/>
      <c r="E54" s="2"/>
    </row>
    <row r="55" spans="1:13">
      <c r="A55" s="8" t="str">
        <f t="shared" ca="1" si="1"/>
        <v/>
      </c>
      <c r="B55" s="12"/>
      <c r="C55" s="4"/>
      <c r="D55" s="11"/>
      <c r="E55" s="2"/>
    </row>
    <row r="56" spans="1:13">
      <c r="A56" s="8" t="str">
        <f t="shared" ca="1" si="1"/>
        <v/>
      </c>
      <c r="B56" s="12"/>
      <c r="C56" s="4"/>
      <c r="D56" s="11"/>
      <c r="E56" s="2"/>
    </row>
    <row r="57" spans="1:13">
      <c r="A57" s="8" t="str">
        <f t="shared" ca="1" si="1"/>
        <v/>
      </c>
      <c r="B57" s="12"/>
      <c r="C57" s="4"/>
      <c r="D57" s="11"/>
      <c r="E57" s="2"/>
    </row>
    <row r="58" spans="1:13">
      <c r="A58" s="8" t="str">
        <f t="shared" ca="1" si="1"/>
        <v/>
      </c>
      <c r="B58" s="12"/>
      <c r="C58" s="4"/>
      <c r="D58" s="11"/>
      <c r="E58" s="2"/>
    </row>
    <row r="59" spans="1:13">
      <c r="A59" s="8" t="str">
        <f t="shared" ca="1" si="1"/>
        <v/>
      </c>
      <c r="B59" s="12"/>
      <c r="C59" s="4"/>
      <c r="D59" s="11"/>
      <c r="E59" s="2"/>
    </row>
    <row r="60" spans="1:13">
      <c r="A60" s="8" t="str">
        <f t="shared" ca="1" si="1"/>
        <v/>
      </c>
      <c r="B60" s="12"/>
      <c r="C60" s="4"/>
      <c r="D60" s="11"/>
      <c r="E60" s="2"/>
    </row>
    <row r="61" spans="1:13">
      <c r="A61" s="8" t="str">
        <f t="shared" ca="1" si="1"/>
        <v/>
      </c>
      <c r="B61" s="12"/>
      <c r="C61" s="4"/>
      <c r="D61" s="11"/>
      <c r="E61" s="2"/>
    </row>
    <row r="62" spans="1:13">
      <c r="A62" s="8" t="str">
        <f t="shared" ca="1" si="1"/>
        <v/>
      </c>
      <c r="B62" s="12"/>
      <c r="C62" s="4"/>
      <c r="D62" s="11"/>
      <c r="E62" s="2"/>
    </row>
    <row r="63" spans="1:13">
      <c r="A63" s="8" t="str">
        <f t="shared" ca="1" si="1"/>
        <v/>
      </c>
      <c r="B63" s="12"/>
      <c r="C63" s="4"/>
      <c r="D63" s="11"/>
      <c r="E63" s="2"/>
    </row>
    <row r="64" spans="1:13">
      <c r="A64" s="8" t="str">
        <f t="shared" ca="1" si="1"/>
        <v/>
      </c>
      <c r="B64" s="12"/>
      <c r="C64" s="4"/>
      <c r="D64" s="11"/>
      <c r="E64" s="2"/>
    </row>
    <row r="65" spans="1:5">
      <c r="A65" s="8" t="str">
        <f t="shared" ca="1" si="1"/>
        <v/>
      </c>
      <c r="B65" s="12"/>
      <c r="C65" s="4"/>
      <c r="D65" s="11"/>
      <c r="E65" s="2"/>
    </row>
    <row r="66" spans="1:5">
      <c r="A66" s="8" t="str">
        <f t="shared" ca="1" si="1"/>
        <v/>
      </c>
      <c r="B66" s="12"/>
      <c r="C66" s="4"/>
      <c r="D66" s="11"/>
      <c r="E66" s="2"/>
    </row>
    <row r="67" spans="1:5">
      <c r="A67" s="8" t="str">
        <f t="shared" ca="1" si="1"/>
        <v/>
      </c>
      <c r="B67" s="12"/>
      <c r="C67" s="4"/>
      <c r="D67" s="11"/>
      <c r="E67" s="2"/>
    </row>
    <row r="68" spans="1:5">
      <c r="A68" s="8" t="str">
        <f t="shared" ca="1" si="1"/>
        <v/>
      </c>
      <c r="B68" s="12"/>
      <c r="C68" s="4"/>
      <c r="D68" s="11"/>
      <c r="E68" s="2"/>
    </row>
    <row r="69" spans="1:5">
      <c r="A69" s="8" t="str">
        <f t="shared" ca="1" si="1"/>
        <v/>
      </c>
      <c r="B69" s="12"/>
      <c r="C69" s="4"/>
      <c r="D69" s="11"/>
      <c r="E69" s="2"/>
    </row>
    <row r="70" spans="1:5">
      <c r="A70" s="8" t="str">
        <f t="shared" ca="1" si="1"/>
        <v/>
      </c>
      <c r="B70" s="12"/>
      <c r="C70" s="4"/>
      <c r="D70" s="11"/>
      <c r="E70" s="2"/>
    </row>
    <row r="71" spans="1:5">
      <c r="A71" s="8" t="str">
        <f t="shared" ca="1" si="1"/>
        <v/>
      </c>
      <c r="B71" s="12"/>
      <c r="C71" s="4"/>
      <c r="D71" s="11"/>
      <c r="E71" s="2"/>
    </row>
    <row r="72" spans="1:5">
      <c r="A72" s="8" t="str">
        <f t="shared" ca="1" si="1"/>
        <v/>
      </c>
      <c r="B72" s="12"/>
      <c r="C72" s="4"/>
      <c r="D72" s="11"/>
      <c r="E72" s="2"/>
    </row>
    <row r="73" spans="1:5">
      <c r="A73" s="8" t="str">
        <f t="shared" ca="1" si="1"/>
        <v/>
      </c>
      <c r="B73" s="12"/>
      <c r="C73" s="4"/>
      <c r="D73" s="11"/>
      <c r="E73" s="2"/>
    </row>
    <row r="74" spans="1:5">
      <c r="A74" s="8" t="str">
        <f t="shared" ref="A74:A137" ca="1" si="2">IF(B74="","",IF(A74="",TODAY(),A74))</f>
        <v/>
      </c>
      <c r="B74" s="12"/>
      <c r="C74" s="4"/>
      <c r="D74" s="11"/>
      <c r="E74" s="2"/>
    </row>
    <row r="75" spans="1:5">
      <c r="A75" s="8" t="str">
        <f t="shared" ca="1" si="2"/>
        <v/>
      </c>
      <c r="B75" s="12"/>
      <c r="C75" s="4"/>
      <c r="D75" s="11"/>
      <c r="E75" s="2"/>
    </row>
    <row r="76" spans="1:5">
      <c r="A76" s="8" t="str">
        <f t="shared" ca="1" si="2"/>
        <v/>
      </c>
      <c r="B76" s="12"/>
      <c r="C76" s="4"/>
      <c r="D76" s="11"/>
      <c r="E76" s="2"/>
    </row>
    <row r="77" spans="1:5">
      <c r="A77" s="8" t="str">
        <f t="shared" ca="1" si="2"/>
        <v/>
      </c>
      <c r="B77" s="12"/>
      <c r="C77" s="4"/>
      <c r="D77" s="11"/>
      <c r="E77" s="2"/>
    </row>
    <row r="78" spans="1:5">
      <c r="A78" s="8" t="str">
        <f t="shared" ca="1" si="2"/>
        <v/>
      </c>
      <c r="B78" s="12"/>
      <c r="C78" s="4"/>
      <c r="D78" s="11"/>
      <c r="E78" s="2"/>
    </row>
    <row r="79" spans="1:5">
      <c r="A79" s="8" t="str">
        <f t="shared" ca="1" si="2"/>
        <v/>
      </c>
      <c r="B79" s="12"/>
      <c r="C79" s="4"/>
      <c r="D79" s="11"/>
      <c r="E79" s="2"/>
    </row>
    <row r="80" spans="1:5">
      <c r="A80" s="8" t="str">
        <f t="shared" ca="1" si="2"/>
        <v/>
      </c>
      <c r="B80" s="12"/>
      <c r="C80" s="4"/>
      <c r="D80" s="11"/>
      <c r="E80" s="2"/>
    </row>
    <row r="81" spans="1:5">
      <c r="A81" s="8" t="str">
        <f t="shared" ca="1" si="2"/>
        <v/>
      </c>
      <c r="B81" s="12"/>
      <c r="C81" s="4"/>
      <c r="D81" s="11"/>
      <c r="E81" s="2"/>
    </row>
    <row r="82" spans="1:5">
      <c r="A82" s="8" t="str">
        <f t="shared" ca="1" si="2"/>
        <v/>
      </c>
      <c r="B82" s="12"/>
      <c r="C82" s="4"/>
      <c r="D82" s="11"/>
      <c r="E82" s="2"/>
    </row>
    <row r="83" spans="1:5">
      <c r="A83" s="8" t="str">
        <f t="shared" ca="1" si="2"/>
        <v/>
      </c>
      <c r="B83" s="12"/>
      <c r="C83" s="4"/>
      <c r="D83" s="11"/>
      <c r="E83" s="2"/>
    </row>
    <row r="84" spans="1:5">
      <c r="A84" s="8" t="str">
        <f t="shared" ca="1" si="2"/>
        <v/>
      </c>
      <c r="B84" s="12"/>
      <c r="C84" s="4"/>
      <c r="D84" s="11"/>
      <c r="E84" s="2"/>
    </row>
    <row r="85" spans="1:5">
      <c r="A85" s="8" t="str">
        <f t="shared" ca="1" si="2"/>
        <v/>
      </c>
      <c r="B85" s="12"/>
      <c r="C85" s="4"/>
      <c r="D85" s="11"/>
      <c r="E85" s="2"/>
    </row>
    <row r="86" spans="1:5">
      <c r="A86" s="8" t="str">
        <f t="shared" ca="1" si="2"/>
        <v/>
      </c>
      <c r="B86" s="12"/>
      <c r="C86" s="4"/>
      <c r="D86" s="11"/>
      <c r="E86" s="2"/>
    </row>
    <row r="87" spans="1:5">
      <c r="A87" s="8" t="str">
        <f t="shared" ca="1" si="2"/>
        <v/>
      </c>
      <c r="B87" s="12"/>
      <c r="C87" s="4"/>
      <c r="D87" s="11"/>
      <c r="E87" s="2"/>
    </row>
    <row r="88" spans="1:5">
      <c r="A88" s="8" t="str">
        <f t="shared" ca="1" si="2"/>
        <v/>
      </c>
      <c r="B88" s="12"/>
      <c r="C88" s="4"/>
      <c r="D88" s="11"/>
      <c r="E88" s="2"/>
    </row>
    <row r="89" spans="1:5">
      <c r="A89" s="8" t="str">
        <f t="shared" ca="1" si="2"/>
        <v/>
      </c>
      <c r="B89" s="12"/>
      <c r="C89" s="4"/>
      <c r="D89" s="11"/>
      <c r="E89" s="2"/>
    </row>
    <row r="90" spans="1:5">
      <c r="A90" s="8" t="str">
        <f t="shared" ca="1" si="2"/>
        <v/>
      </c>
      <c r="B90" s="12"/>
      <c r="C90" s="4"/>
      <c r="D90" s="11"/>
      <c r="E90" s="2"/>
    </row>
    <row r="91" spans="1:5">
      <c r="A91" s="8" t="str">
        <f t="shared" ca="1" si="2"/>
        <v/>
      </c>
      <c r="B91" s="12"/>
      <c r="C91" s="4"/>
      <c r="D91" s="11"/>
      <c r="E91" s="2"/>
    </row>
    <row r="92" spans="1:5">
      <c r="A92" s="8" t="str">
        <f t="shared" ca="1" si="2"/>
        <v/>
      </c>
      <c r="B92" s="12"/>
      <c r="C92" s="4"/>
      <c r="D92" s="11"/>
      <c r="E92" s="2"/>
    </row>
    <row r="93" spans="1:5">
      <c r="A93" s="8" t="str">
        <f t="shared" ca="1" si="2"/>
        <v/>
      </c>
      <c r="B93" s="12"/>
      <c r="C93" s="4"/>
      <c r="D93" s="11"/>
      <c r="E93" s="2"/>
    </row>
    <row r="94" spans="1:5">
      <c r="A94" s="8" t="str">
        <f t="shared" ca="1" si="2"/>
        <v/>
      </c>
      <c r="B94" s="12"/>
      <c r="C94" s="4"/>
      <c r="D94" s="11"/>
      <c r="E94" s="2"/>
    </row>
    <row r="95" spans="1:5">
      <c r="A95" s="8" t="str">
        <f t="shared" ca="1" si="2"/>
        <v/>
      </c>
      <c r="B95" s="12"/>
      <c r="C95" s="4"/>
      <c r="D95" s="11"/>
      <c r="E95" s="2"/>
    </row>
    <row r="96" spans="1:5">
      <c r="A96" s="8" t="str">
        <f t="shared" ca="1" si="2"/>
        <v/>
      </c>
      <c r="B96" s="12"/>
      <c r="C96" s="4"/>
      <c r="D96" s="11"/>
      <c r="E96" s="2"/>
    </row>
    <row r="97" spans="1:5">
      <c r="A97" s="8" t="str">
        <f t="shared" ca="1" si="2"/>
        <v/>
      </c>
      <c r="B97" s="12"/>
      <c r="C97" s="4"/>
      <c r="D97" s="11"/>
      <c r="E97" s="2"/>
    </row>
    <row r="98" spans="1:5">
      <c r="A98" s="8" t="str">
        <f t="shared" ca="1" si="2"/>
        <v/>
      </c>
      <c r="B98" s="12"/>
      <c r="C98" s="4"/>
      <c r="D98" s="11"/>
      <c r="E98" s="2"/>
    </row>
    <row r="99" spans="1:5">
      <c r="A99" s="8" t="str">
        <f t="shared" ca="1" si="2"/>
        <v/>
      </c>
      <c r="B99" s="12"/>
      <c r="C99" s="4"/>
      <c r="D99" s="11"/>
      <c r="E99" s="2"/>
    </row>
    <row r="100" spans="1:5">
      <c r="A100" s="8" t="str">
        <f t="shared" ca="1" si="2"/>
        <v/>
      </c>
      <c r="B100" s="12"/>
      <c r="C100" s="4"/>
      <c r="D100" s="11"/>
      <c r="E100" s="2"/>
    </row>
    <row r="101" spans="1:5">
      <c r="A101" s="8" t="str">
        <f t="shared" ca="1" si="2"/>
        <v/>
      </c>
      <c r="B101" s="12"/>
      <c r="C101" s="4"/>
      <c r="D101" s="11"/>
      <c r="E101" s="2"/>
    </row>
    <row r="102" spans="1:5">
      <c r="A102" s="8" t="str">
        <f t="shared" ca="1" si="2"/>
        <v/>
      </c>
      <c r="B102" s="12"/>
      <c r="C102" s="4"/>
      <c r="D102" s="11"/>
      <c r="E102" s="2"/>
    </row>
    <row r="103" spans="1:5">
      <c r="A103" s="8" t="str">
        <f t="shared" ca="1" si="2"/>
        <v/>
      </c>
      <c r="B103" s="12"/>
      <c r="C103" s="4"/>
      <c r="D103" s="11"/>
      <c r="E103" s="2"/>
    </row>
    <row r="104" spans="1:5">
      <c r="A104" s="8" t="str">
        <f t="shared" ca="1" si="2"/>
        <v/>
      </c>
      <c r="B104" s="12"/>
      <c r="C104" s="4"/>
      <c r="D104" s="11"/>
      <c r="E104" s="2"/>
    </row>
    <row r="105" spans="1:5">
      <c r="A105" s="8" t="str">
        <f t="shared" ca="1" si="2"/>
        <v/>
      </c>
      <c r="B105" s="12"/>
      <c r="C105" s="4"/>
      <c r="D105" s="11"/>
      <c r="E105" s="2"/>
    </row>
    <row r="106" spans="1:5">
      <c r="A106" s="8" t="str">
        <f t="shared" ca="1" si="2"/>
        <v/>
      </c>
      <c r="B106" s="12"/>
      <c r="C106" s="4"/>
      <c r="D106" s="11"/>
      <c r="E106" s="2"/>
    </row>
    <row r="107" spans="1:5">
      <c r="A107" s="8" t="str">
        <f t="shared" ca="1" si="2"/>
        <v/>
      </c>
      <c r="B107" s="12"/>
      <c r="C107" s="4"/>
      <c r="D107" s="11"/>
      <c r="E107" s="2"/>
    </row>
    <row r="108" spans="1:5">
      <c r="A108" s="8" t="str">
        <f t="shared" ca="1" si="2"/>
        <v/>
      </c>
      <c r="B108" s="12"/>
      <c r="C108" s="4"/>
      <c r="D108" s="11"/>
      <c r="E108" s="2"/>
    </row>
    <row r="109" spans="1:5">
      <c r="A109" s="8" t="str">
        <f t="shared" ca="1" si="2"/>
        <v/>
      </c>
      <c r="B109" s="12"/>
      <c r="C109" s="4"/>
      <c r="D109" s="11"/>
      <c r="E109" s="2"/>
    </row>
    <row r="110" spans="1:5">
      <c r="A110" s="8" t="str">
        <f t="shared" ca="1" si="2"/>
        <v/>
      </c>
      <c r="B110" s="12"/>
      <c r="C110" s="4"/>
      <c r="D110" s="11"/>
      <c r="E110" s="2"/>
    </row>
    <row r="111" spans="1:5">
      <c r="A111" s="8" t="str">
        <f t="shared" ca="1" si="2"/>
        <v/>
      </c>
      <c r="B111" s="12"/>
      <c r="C111" s="4"/>
      <c r="D111" s="11"/>
      <c r="E111" s="2"/>
    </row>
    <row r="112" spans="1:5">
      <c r="A112" s="8" t="str">
        <f t="shared" ca="1" si="2"/>
        <v/>
      </c>
      <c r="B112" s="12"/>
      <c r="C112" s="4"/>
      <c r="D112" s="11"/>
      <c r="E112" s="2"/>
    </row>
    <row r="113" spans="1:5">
      <c r="A113" s="8" t="str">
        <f t="shared" ca="1" si="2"/>
        <v/>
      </c>
      <c r="B113" s="12"/>
      <c r="C113" s="4"/>
      <c r="D113" s="11"/>
      <c r="E113" s="2"/>
    </row>
    <row r="114" spans="1:5">
      <c r="A114" s="8" t="str">
        <f t="shared" ca="1" si="2"/>
        <v/>
      </c>
      <c r="B114" s="12"/>
      <c r="C114" s="4"/>
      <c r="D114" s="11"/>
      <c r="E114" s="2"/>
    </row>
    <row r="115" spans="1:5">
      <c r="A115" s="8" t="str">
        <f t="shared" ca="1" si="2"/>
        <v/>
      </c>
      <c r="B115" s="12"/>
      <c r="C115" s="4"/>
      <c r="D115" s="11"/>
      <c r="E115" s="2"/>
    </row>
    <row r="116" spans="1:5">
      <c r="A116" s="8" t="str">
        <f t="shared" ca="1" si="2"/>
        <v/>
      </c>
      <c r="B116" s="12"/>
      <c r="C116" s="4"/>
      <c r="D116" s="11"/>
      <c r="E116" s="2"/>
    </row>
    <row r="117" spans="1:5">
      <c r="A117" s="8" t="str">
        <f t="shared" ca="1" si="2"/>
        <v/>
      </c>
      <c r="B117" s="12"/>
      <c r="C117" s="4"/>
      <c r="D117" s="11"/>
      <c r="E117" s="2"/>
    </row>
    <row r="118" spans="1:5">
      <c r="A118" s="8" t="str">
        <f t="shared" ca="1" si="2"/>
        <v/>
      </c>
      <c r="B118" s="12"/>
      <c r="C118" s="4"/>
      <c r="D118" s="11"/>
      <c r="E118" s="2"/>
    </row>
    <row r="119" spans="1:5">
      <c r="A119" s="8" t="str">
        <f t="shared" ca="1" si="2"/>
        <v/>
      </c>
      <c r="B119" s="12"/>
      <c r="C119" s="4"/>
      <c r="D119" s="11"/>
      <c r="E119" s="2"/>
    </row>
    <row r="120" spans="1:5">
      <c r="A120" s="8" t="str">
        <f t="shared" ca="1" si="2"/>
        <v/>
      </c>
      <c r="B120" s="12"/>
      <c r="C120" s="4"/>
      <c r="D120" s="11"/>
      <c r="E120" s="2"/>
    </row>
    <row r="121" spans="1:5">
      <c r="A121" s="8" t="str">
        <f t="shared" ca="1" si="2"/>
        <v/>
      </c>
      <c r="B121" s="12"/>
      <c r="C121" s="4"/>
      <c r="D121" s="11"/>
      <c r="E121" s="2"/>
    </row>
    <row r="122" spans="1:5">
      <c r="A122" s="8" t="str">
        <f t="shared" ca="1" si="2"/>
        <v/>
      </c>
      <c r="B122" s="12"/>
      <c r="C122" s="4"/>
      <c r="D122" s="11"/>
      <c r="E122" s="2"/>
    </row>
    <row r="123" spans="1:5">
      <c r="A123" s="8" t="str">
        <f t="shared" ca="1" si="2"/>
        <v/>
      </c>
      <c r="B123" s="12"/>
      <c r="C123" s="4"/>
      <c r="D123" s="11"/>
      <c r="E123" s="2"/>
    </row>
    <row r="124" spans="1:5">
      <c r="A124" s="8" t="str">
        <f t="shared" ca="1" si="2"/>
        <v/>
      </c>
      <c r="B124" s="12"/>
      <c r="C124" s="4"/>
      <c r="D124" s="11"/>
      <c r="E124" s="2"/>
    </row>
    <row r="125" spans="1:5">
      <c r="A125" s="8" t="str">
        <f t="shared" ca="1" si="2"/>
        <v/>
      </c>
      <c r="B125" s="12"/>
      <c r="C125" s="4"/>
      <c r="D125" s="11"/>
      <c r="E125" s="2"/>
    </row>
    <row r="126" spans="1:5">
      <c r="A126" s="8" t="str">
        <f t="shared" ca="1" si="2"/>
        <v/>
      </c>
      <c r="B126" s="12"/>
      <c r="C126" s="4"/>
      <c r="D126" s="11"/>
      <c r="E126" s="2"/>
    </row>
    <row r="127" spans="1:5">
      <c r="A127" s="8" t="str">
        <f t="shared" ca="1" si="2"/>
        <v/>
      </c>
      <c r="B127" s="12"/>
      <c r="C127" s="4"/>
      <c r="D127" s="11"/>
      <c r="E127" s="2"/>
    </row>
    <row r="128" spans="1:5">
      <c r="A128" s="8" t="str">
        <f t="shared" ca="1" si="2"/>
        <v/>
      </c>
      <c r="B128" s="12"/>
      <c r="C128" s="4"/>
      <c r="D128" s="11"/>
      <c r="E128" s="2"/>
    </row>
    <row r="129" spans="1:5">
      <c r="A129" s="8" t="str">
        <f t="shared" ca="1" si="2"/>
        <v/>
      </c>
      <c r="B129" s="12"/>
      <c r="C129" s="4"/>
      <c r="D129" s="11"/>
      <c r="E129" s="2"/>
    </row>
    <row r="130" spans="1:5">
      <c r="A130" s="8" t="str">
        <f t="shared" ca="1" si="2"/>
        <v/>
      </c>
      <c r="B130" s="12"/>
      <c r="C130" s="4"/>
      <c r="D130" s="11"/>
      <c r="E130" s="2"/>
    </row>
    <row r="131" spans="1:5">
      <c r="A131" s="8" t="str">
        <f t="shared" ca="1" si="2"/>
        <v/>
      </c>
      <c r="B131" s="12"/>
      <c r="C131" s="4"/>
      <c r="D131" s="11"/>
      <c r="E131" s="2"/>
    </row>
    <row r="132" spans="1:5">
      <c r="A132" s="8" t="str">
        <f t="shared" ca="1" si="2"/>
        <v/>
      </c>
      <c r="B132" s="12"/>
      <c r="C132" s="4"/>
      <c r="D132" s="11"/>
      <c r="E132" s="2"/>
    </row>
    <row r="133" spans="1:5">
      <c r="A133" s="8" t="str">
        <f t="shared" ca="1" si="2"/>
        <v/>
      </c>
      <c r="B133" s="12"/>
      <c r="C133" s="4"/>
      <c r="D133" s="11"/>
      <c r="E133" s="2"/>
    </row>
    <row r="134" spans="1:5">
      <c r="A134" s="8" t="str">
        <f t="shared" ca="1" si="2"/>
        <v/>
      </c>
      <c r="B134" s="12"/>
      <c r="C134" s="4"/>
      <c r="D134" s="11"/>
      <c r="E134" s="2"/>
    </row>
    <row r="135" spans="1:5">
      <c r="A135" s="8" t="str">
        <f t="shared" ca="1" si="2"/>
        <v/>
      </c>
      <c r="B135" s="12"/>
      <c r="C135" s="4"/>
      <c r="D135" s="11"/>
      <c r="E135" s="2"/>
    </row>
    <row r="136" spans="1:5">
      <c r="A136" s="8" t="str">
        <f t="shared" ca="1" si="2"/>
        <v/>
      </c>
      <c r="B136" s="12"/>
      <c r="C136" s="4"/>
      <c r="D136" s="11"/>
      <c r="E136" s="2"/>
    </row>
    <row r="137" spans="1:5">
      <c r="A137" s="8" t="str">
        <f t="shared" ca="1" si="2"/>
        <v/>
      </c>
      <c r="B137" s="12"/>
      <c r="C137" s="4"/>
      <c r="D137" s="11"/>
      <c r="E137" s="2"/>
    </row>
    <row r="138" spans="1:5">
      <c r="A138" s="8" t="str">
        <f t="shared" ref="A138:A201" ca="1" si="3">IF(B138="","",IF(A138="",TODAY(),A138))</f>
        <v/>
      </c>
      <c r="B138" s="12"/>
      <c r="C138" s="4"/>
      <c r="D138" s="11"/>
      <c r="E138" s="2"/>
    </row>
    <row r="139" spans="1:5">
      <c r="A139" s="8" t="str">
        <f t="shared" ca="1" si="3"/>
        <v/>
      </c>
      <c r="B139" s="12"/>
      <c r="C139" s="4"/>
      <c r="D139" s="11"/>
      <c r="E139" s="2"/>
    </row>
    <row r="140" spans="1:5">
      <c r="A140" s="8" t="str">
        <f t="shared" ca="1" si="3"/>
        <v/>
      </c>
      <c r="B140" s="12"/>
      <c r="C140" s="4"/>
      <c r="D140" s="11"/>
      <c r="E140" s="2"/>
    </row>
    <row r="141" spans="1:5">
      <c r="A141" s="8" t="str">
        <f t="shared" ca="1" si="3"/>
        <v/>
      </c>
      <c r="B141" s="12"/>
      <c r="C141" s="4"/>
      <c r="D141" s="11"/>
      <c r="E141" s="2"/>
    </row>
    <row r="142" spans="1:5">
      <c r="A142" s="8" t="str">
        <f t="shared" ca="1" si="3"/>
        <v/>
      </c>
      <c r="B142" s="12"/>
      <c r="C142" s="4"/>
      <c r="D142" s="11"/>
      <c r="E142" s="2"/>
    </row>
    <row r="143" spans="1:5">
      <c r="A143" s="8" t="str">
        <f t="shared" ca="1" si="3"/>
        <v/>
      </c>
      <c r="B143" s="12"/>
      <c r="C143" s="4"/>
      <c r="D143" s="11"/>
      <c r="E143" s="2"/>
    </row>
    <row r="144" spans="1:5">
      <c r="A144" s="8" t="str">
        <f t="shared" ca="1" si="3"/>
        <v/>
      </c>
      <c r="B144" s="12"/>
      <c r="C144" s="4"/>
      <c r="D144" s="11"/>
      <c r="E144" s="2"/>
    </row>
    <row r="145" spans="1:5">
      <c r="A145" s="8" t="str">
        <f t="shared" ca="1" si="3"/>
        <v/>
      </c>
      <c r="B145" s="12"/>
      <c r="C145" s="4"/>
      <c r="D145" s="11"/>
      <c r="E145" s="2"/>
    </row>
    <row r="146" spans="1:5">
      <c r="A146" s="8" t="str">
        <f t="shared" ca="1" si="3"/>
        <v/>
      </c>
      <c r="B146" s="12"/>
      <c r="C146" s="4"/>
      <c r="D146" s="11"/>
      <c r="E146" s="2"/>
    </row>
    <row r="147" spans="1:5">
      <c r="A147" s="8" t="str">
        <f t="shared" ca="1" si="3"/>
        <v/>
      </c>
      <c r="B147" s="12"/>
      <c r="C147" s="4"/>
      <c r="D147" s="11"/>
      <c r="E147" s="2"/>
    </row>
    <row r="148" spans="1:5">
      <c r="A148" s="8" t="str">
        <f t="shared" ca="1" si="3"/>
        <v/>
      </c>
      <c r="B148" s="12"/>
      <c r="C148" s="4"/>
      <c r="D148" s="11"/>
      <c r="E148" s="2"/>
    </row>
    <row r="149" spans="1:5">
      <c r="A149" s="8" t="str">
        <f t="shared" ca="1" si="3"/>
        <v/>
      </c>
      <c r="B149" s="12"/>
      <c r="C149" s="4"/>
      <c r="D149" s="11"/>
      <c r="E149" s="2"/>
    </row>
    <row r="150" spans="1:5">
      <c r="A150" s="8" t="str">
        <f t="shared" ca="1" si="3"/>
        <v/>
      </c>
      <c r="B150" s="12"/>
      <c r="C150" s="4"/>
      <c r="D150" s="11"/>
      <c r="E150" s="2"/>
    </row>
    <row r="151" spans="1:5">
      <c r="A151" s="8" t="str">
        <f t="shared" ca="1" si="3"/>
        <v/>
      </c>
      <c r="B151" s="12"/>
      <c r="C151" s="4"/>
      <c r="D151" s="11"/>
      <c r="E151" s="2"/>
    </row>
    <row r="152" spans="1:5">
      <c r="A152" s="8" t="str">
        <f t="shared" ca="1" si="3"/>
        <v/>
      </c>
      <c r="B152" s="12"/>
      <c r="C152" s="4"/>
      <c r="D152" s="11"/>
      <c r="E152" s="2"/>
    </row>
    <row r="153" spans="1:5">
      <c r="A153" s="8" t="str">
        <f t="shared" ca="1" si="3"/>
        <v/>
      </c>
      <c r="B153" s="12"/>
      <c r="C153" s="4"/>
      <c r="D153" s="11"/>
      <c r="E153" s="2"/>
    </row>
    <row r="154" spans="1:5">
      <c r="A154" s="8" t="str">
        <f t="shared" ca="1" si="3"/>
        <v/>
      </c>
      <c r="B154" s="12"/>
      <c r="C154" s="4"/>
      <c r="D154" s="11"/>
      <c r="E154" s="2"/>
    </row>
    <row r="155" spans="1:5">
      <c r="A155" s="8" t="str">
        <f t="shared" ca="1" si="3"/>
        <v/>
      </c>
      <c r="B155" s="12"/>
      <c r="C155" s="4"/>
      <c r="D155" s="11"/>
      <c r="E155" s="2"/>
    </row>
    <row r="156" spans="1:5">
      <c r="A156" s="8" t="str">
        <f t="shared" ca="1" si="3"/>
        <v/>
      </c>
      <c r="B156" s="12"/>
      <c r="C156" s="4"/>
      <c r="D156" s="11"/>
      <c r="E156" s="2"/>
    </row>
    <row r="157" spans="1:5">
      <c r="A157" s="8" t="str">
        <f t="shared" ca="1" si="3"/>
        <v/>
      </c>
      <c r="B157" s="12"/>
      <c r="C157" s="4"/>
      <c r="D157" s="11"/>
      <c r="E157" s="2"/>
    </row>
    <row r="158" spans="1:5">
      <c r="A158" s="8" t="str">
        <f t="shared" ca="1" si="3"/>
        <v/>
      </c>
      <c r="B158" s="12"/>
      <c r="C158" s="4"/>
      <c r="D158" s="11"/>
      <c r="E158" s="2"/>
    </row>
    <row r="159" spans="1:5">
      <c r="A159" s="8" t="str">
        <f t="shared" ca="1" si="3"/>
        <v/>
      </c>
      <c r="B159" s="12"/>
      <c r="C159" s="4"/>
      <c r="D159" s="11"/>
      <c r="E159" s="2"/>
    </row>
    <row r="160" spans="1:5">
      <c r="A160" s="8" t="str">
        <f t="shared" ca="1" si="3"/>
        <v/>
      </c>
      <c r="B160" s="12"/>
      <c r="C160" s="4"/>
      <c r="D160" s="11"/>
      <c r="E160" s="2"/>
    </row>
    <row r="161" spans="1:5">
      <c r="A161" s="8" t="str">
        <f t="shared" ca="1" si="3"/>
        <v/>
      </c>
      <c r="B161" s="12"/>
      <c r="C161" s="4"/>
      <c r="D161" s="11"/>
      <c r="E161" s="2"/>
    </row>
    <row r="162" spans="1:5">
      <c r="A162" s="8" t="str">
        <f t="shared" ca="1" si="3"/>
        <v/>
      </c>
      <c r="B162" s="12"/>
      <c r="C162" s="4"/>
      <c r="D162" s="11"/>
      <c r="E162" s="2"/>
    </row>
    <row r="163" spans="1:5">
      <c r="A163" s="8" t="str">
        <f t="shared" ca="1" si="3"/>
        <v/>
      </c>
      <c r="B163" s="12"/>
      <c r="C163" s="4"/>
      <c r="D163" s="11"/>
      <c r="E163" s="2"/>
    </row>
    <row r="164" spans="1:5">
      <c r="A164" s="8" t="str">
        <f t="shared" ca="1" si="3"/>
        <v/>
      </c>
      <c r="B164" s="12"/>
      <c r="C164" s="4"/>
      <c r="D164" s="11"/>
      <c r="E164" s="2"/>
    </row>
    <row r="165" spans="1:5">
      <c r="A165" s="8" t="str">
        <f t="shared" ca="1" si="3"/>
        <v/>
      </c>
      <c r="B165" s="12"/>
      <c r="C165" s="4"/>
      <c r="D165" s="11"/>
      <c r="E165" s="2"/>
    </row>
    <row r="166" spans="1:5">
      <c r="A166" s="8" t="str">
        <f t="shared" ca="1" si="3"/>
        <v/>
      </c>
      <c r="B166" s="12"/>
      <c r="C166" s="4"/>
      <c r="D166" s="11"/>
      <c r="E166" s="2"/>
    </row>
    <row r="167" spans="1:5">
      <c r="A167" s="8" t="str">
        <f t="shared" ca="1" si="3"/>
        <v/>
      </c>
      <c r="B167" s="12"/>
      <c r="C167" s="4"/>
      <c r="D167" s="11"/>
      <c r="E167" s="2"/>
    </row>
    <row r="168" spans="1:5">
      <c r="A168" s="8" t="str">
        <f t="shared" ca="1" si="3"/>
        <v/>
      </c>
      <c r="B168" s="12"/>
      <c r="C168" s="4"/>
      <c r="D168" s="11"/>
      <c r="E168" s="2"/>
    </row>
    <row r="169" spans="1:5">
      <c r="A169" s="8" t="str">
        <f t="shared" ca="1" si="3"/>
        <v/>
      </c>
      <c r="B169" s="12"/>
      <c r="C169" s="4"/>
      <c r="D169" s="11"/>
      <c r="E169" s="2"/>
    </row>
    <row r="170" spans="1:5">
      <c r="A170" s="8" t="str">
        <f t="shared" ca="1" si="3"/>
        <v/>
      </c>
      <c r="B170" s="12"/>
      <c r="C170" s="4"/>
      <c r="D170" s="11"/>
      <c r="E170" s="2"/>
    </row>
    <row r="171" spans="1:5">
      <c r="A171" s="8" t="str">
        <f t="shared" ca="1" si="3"/>
        <v/>
      </c>
      <c r="B171" s="12"/>
      <c r="C171" s="4"/>
      <c r="D171" s="11"/>
      <c r="E171" s="2"/>
    </row>
    <row r="172" spans="1:5">
      <c r="A172" s="8" t="str">
        <f t="shared" ca="1" si="3"/>
        <v/>
      </c>
      <c r="B172" s="12"/>
      <c r="C172" s="4"/>
      <c r="D172" s="11"/>
      <c r="E172" s="2"/>
    </row>
    <row r="173" spans="1:5">
      <c r="A173" s="8" t="str">
        <f t="shared" ca="1" si="3"/>
        <v/>
      </c>
      <c r="B173" s="12"/>
      <c r="C173" s="4"/>
      <c r="D173" s="11"/>
      <c r="E173" s="2"/>
    </row>
    <row r="174" spans="1:5">
      <c r="A174" s="8" t="str">
        <f t="shared" ca="1" si="3"/>
        <v/>
      </c>
      <c r="B174" s="12"/>
      <c r="C174" s="4"/>
      <c r="D174" s="11"/>
      <c r="E174" s="2"/>
    </row>
    <row r="175" spans="1:5">
      <c r="A175" s="8" t="str">
        <f t="shared" ca="1" si="3"/>
        <v/>
      </c>
      <c r="B175" s="12"/>
      <c r="C175" s="4"/>
      <c r="D175" s="11"/>
      <c r="E175" s="2"/>
    </row>
    <row r="176" spans="1:5">
      <c r="A176" s="8" t="str">
        <f t="shared" ca="1" si="3"/>
        <v/>
      </c>
      <c r="B176" s="12"/>
      <c r="C176" s="4"/>
      <c r="D176" s="11"/>
      <c r="E176" s="2"/>
    </row>
    <row r="177" spans="1:5">
      <c r="A177" s="8" t="str">
        <f t="shared" ca="1" si="3"/>
        <v/>
      </c>
      <c r="B177" s="12"/>
      <c r="C177" s="4"/>
      <c r="D177" s="11"/>
      <c r="E177" s="2"/>
    </row>
    <row r="178" spans="1:5">
      <c r="A178" s="8" t="str">
        <f t="shared" ca="1" si="3"/>
        <v/>
      </c>
      <c r="B178" s="12"/>
      <c r="C178" s="4"/>
      <c r="D178" s="11"/>
      <c r="E178" s="2"/>
    </row>
    <row r="179" spans="1:5">
      <c r="A179" s="8" t="str">
        <f t="shared" ca="1" si="3"/>
        <v/>
      </c>
      <c r="B179" s="12"/>
      <c r="C179" s="4"/>
      <c r="D179" s="11"/>
      <c r="E179" s="2"/>
    </row>
    <row r="180" spans="1:5">
      <c r="A180" s="8" t="str">
        <f t="shared" ca="1" si="3"/>
        <v/>
      </c>
      <c r="B180" s="12"/>
      <c r="C180" s="4"/>
      <c r="D180" s="11"/>
      <c r="E180" s="2"/>
    </row>
    <row r="181" spans="1:5">
      <c r="A181" s="8" t="str">
        <f t="shared" ca="1" si="3"/>
        <v/>
      </c>
      <c r="B181" s="12"/>
      <c r="C181" s="4"/>
      <c r="D181" s="11"/>
      <c r="E181" s="2"/>
    </row>
    <row r="182" spans="1:5">
      <c r="A182" s="8" t="str">
        <f t="shared" ca="1" si="3"/>
        <v/>
      </c>
      <c r="B182" s="12"/>
      <c r="C182" s="4"/>
      <c r="D182" s="11"/>
      <c r="E182" s="2"/>
    </row>
    <row r="183" spans="1:5">
      <c r="A183" s="8" t="str">
        <f t="shared" ca="1" si="3"/>
        <v/>
      </c>
      <c r="B183" s="12"/>
      <c r="C183" s="4"/>
      <c r="D183" s="11"/>
      <c r="E183" s="2"/>
    </row>
    <row r="184" spans="1:5">
      <c r="A184" s="8" t="str">
        <f t="shared" ca="1" si="3"/>
        <v/>
      </c>
      <c r="B184" s="12"/>
      <c r="C184" s="4"/>
      <c r="D184" s="11"/>
      <c r="E184" s="2"/>
    </row>
    <row r="185" spans="1:5">
      <c r="A185" s="8" t="str">
        <f t="shared" ca="1" si="3"/>
        <v/>
      </c>
      <c r="B185" s="12"/>
      <c r="C185" s="4"/>
      <c r="D185" s="11"/>
      <c r="E185" s="2"/>
    </row>
    <row r="186" spans="1:5">
      <c r="A186" s="8" t="str">
        <f t="shared" ca="1" si="3"/>
        <v/>
      </c>
      <c r="B186" s="12"/>
      <c r="C186" s="4"/>
      <c r="D186" s="11"/>
      <c r="E186" s="2"/>
    </row>
    <row r="187" spans="1:5">
      <c r="A187" s="8" t="str">
        <f t="shared" ca="1" si="3"/>
        <v/>
      </c>
      <c r="B187" s="12"/>
      <c r="C187" s="4"/>
      <c r="D187" s="11"/>
      <c r="E187" s="2"/>
    </row>
    <row r="188" spans="1:5">
      <c r="A188" s="8" t="str">
        <f t="shared" ca="1" si="3"/>
        <v/>
      </c>
      <c r="B188" s="12"/>
      <c r="C188" s="4"/>
      <c r="D188" s="11"/>
      <c r="E188" s="2"/>
    </row>
    <row r="189" spans="1:5">
      <c r="A189" s="8" t="str">
        <f t="shared" ca="1" si="3"/>
        <v/>
      </c>
      <c r="B189" s="12"/>
      <c r="C189" s="4"/>
      <c r="D189" s="11"/>
      <c r="E189" s="2"/>
    </row>
    <row r="190" spans="1:5">
      <c r="A190" s="8" t="str">
        <f t="shared" ca="1" si="3"/>
        <v/>
      </c>
      <c r="B190" s="12"/>
      <c r="C190" s="4"/>
      <c r="D190" s="11"/>
      <c r="E190" s="2"/>
    </row>
    <row r="191" spans="1:5">
      <c r="A191" s="8" t="str">
        <f t="shared" ca="1" si="3"/>
        <v/>
      </c>
      <c r="B191" s="12"/>
      <c r="C191" s="4"/>
      <c r="D191" s="11"/>
      <c r="E191" s="2"/>
    </row>
    <row r="192" spans="1:5">
      <c r="A192" s="8" t="str">
        <f t="shared" ca="1" si="3"/>
        <v/>
      </c>
      <c r="B192" s="12"/>
      <c r="C192" s="4"/>
      <c r="D192" s="11"/>
      <c r="E192" s="2"/>
    </row>
    <row r="193" spans="1:5">
      <c r="A193" s="8" t="str">
        <f t="shared" ca="1" si="3"/>
        <v/>
      </c>
      <c r="B193" s="12"/>
      <c r="C193" s="4"/>
      <c r="D193" s="11"/>
      <c r="E193" s="2"/>
    </row>
    <row r="194" spans="1:5">
      <c r="A194" s="8" t="str">
        <f t="shared" ca="1" si="3"/>
        <v/>
      </c>
      <c r="B194" s="12"/>
      <c r="C194" s="4"/>
      <c r="D194" s="11"/>
      <c r="E194" s="2"/>
    </row>
    <row r="195" spans="1:5">
      <c r="A195" s="8" t="str">
        <f t="shared" ca="1" si="3"/>
        <v/>
      </c>
      <c r="B195" s="12"/>
      <c r="C195" s="4"/>
      <c r="D195" s="11"/>
      <c r="E195" s="2"/>
    </row>
    <row r="196" spans="1:5">
      <c r="A196" s="8" t="str">
        <f t="shared" ca="1" si="3"/>
        <v/>
      </c>
      <c r="B196" s="12"/>
      <c r="C196" s="4"/>
      <c r="D196" s="11"/>
      <c r="E196" s="2"/>
    </row>
    <row r="197" spans="1:5">
      <c r="A197" s="8" t="str">
        <f t="shared" ca="1" si="3"/>
        <v/>
      </c>
      <c r="B197" s="12"/>
      <c r="C197" s="4"/>
      <c r="D197" s="11"/>
      <c r="E197" s="2"/>
    </row>
    <row r="198" spans="1:5">
      <c r="A198" s="8" t="str">
        <f t="shared" ca="1" si="3"/>
        <v/>
      </c>
      <c r="B198" s="12"/>
      <c r="C198" s="4"/>
      <c r="D198" s="11"/>
      <c r="E198" s="2"/>
    </row>
    <row r="199" spans="1:5">
      <c r="A199" s="8" t="str">
        <f t="shared" ca="1" si="3"/>
        <v/>
      </c>
      <c r="B199" s="12"/>
      <c r="C199" s="4"/>
      <c r="D199" s="11"/>
      <c r="E199" s="2"/>
    </row>
    <row r="200" spans="1:5">
      <c r="A200" s="8" t="str">
        <f t="shared" ca="1" si="3"/>
        <v/>
      </c>
      <c r="B200" s="12"/>
      <c r="C200" s="4"/>
      <c r="D200" s="11"/>
      <c r="E200" s="2"/>
    </row>
    <row r="201" spans="1:5">
      <c r="A201" s="8" t="str">
        <f t="shared" ca="1" si="3"/>
        <v/>
      </c>
      <c r="B201" s="12"/>
      <c r="C201" s="4"/>
      <c r="D201" s="11"/>
      <c r="E201" s="2"/>
    </row>
    <row r="202" spans="1:5">
      <c r="A202" s="8" t="str">
        <f t="shared" ref="A202:A265" ca="1" si="4">IF(B202="","",IF(A202="",TODAY(),A202))</f>
        <v/>
      </c>
      <c r="B202" s="12"/>
      <c r="C202" s="4"/>
      <c r="D202" s="11"/>
      <c r="E202" s="2"/>
    </row>
    <row r="203" spans="1:5">
      <c r="A203" s="8" t="str">
        <f t="shared" ca="1" si="4"/>
        <v/>
      </c>
      <c r="B203" s="12"/>
      <c r="C203" s="4"/>
      <c r="D203" s="11"/>
      <c r="E203" s="2"/>
    </row>
    <row r="204" spans="1:5">
      <c r="A204" s="8" t="str">
        <f t="shared" ca="1" si="4"/>
        <v/>
      </c>
      <c r="B204" s="12"/>
      <c r="C204" s="4"/>
      <c r="D204" s="11"/>
      <c r="E204" s="2"/>
    </row>
    <row r="205" spans="1:5">
      <c r="A205" s="8" t="str">
        <f t="shared" ca="1" si="4"/>
        <v/>
      </c>
      <c r="B205" s="12"/>
      <c r="C205" s="4"/>
      <c r="D205" s="11"/>
      <c r="E205" s="2"/>
    </row>
    <row r="206" spans="1:5">
      <c r="A206" s="8" t="str">
        <f t="shared" ca="1" si="4"/>
        <v/>
      </c>
      <c r="B206" s="12"/>
      <c r="C206" s="4"/>
      <c r="D206" s="11"/>
      <c r="E206" s="2"/>
    </row>
    <row r="207" spans="1:5">
      <c r="A207" s="8" t="str">
        <f t="shared" ca="1" si="4"/>
        <v/>
      </c>
      <c r="B207" s="12"/>
      <c r="C207" s="4"/>
      <c r="D207" s="11"/>
      <c r="E207" s="2"/>
    </row>
    <row r="208" spans="1:5">
      <c r="A208" s="8" t="str">
        <f t="shared" ca="1" si="4"/>
        <v/>
      </c>
      <c r="B208" s="12"/>
      <c r="C208" s="4"/>
      <c r="D208" s="11"/>
      <c r="E208" s="2"/>
    </row>
    <row r="209" spans="1:5">
      <c r="A209" s="8" t="str">
        <f t="shared" ca="1" si="4"/>
        <v/>
      </c>
      <c r="B209" s="12"/>
      <c r="C209" s="4"/>
      <c r="D209" s="11"/>
      <c r="E209" s="2"/>
    </row>
    <row r="210" spans="1:5">
      <c r="A210" s="8" t="str">
        <f t="shared" ca="1" si="4"/>
        <v/>
      </c>
      <c r="B210" s="12"/>
      <c r="C210" s="4"/>
      <c r="D210" s="11"/>
      <c r="E210" s="2"/>
    </row>
    <row r="211" spans="1:5">
      <c r="A211" s="8" t="str">
        <f t="shared" ca="1" si="4"/>
        <v/>
      </c>
      <c r="B211" s="12"/>
      <c r="C211" s="4"/>
      <c r="D211" s="11"/>
      <c r="E211" s="2"/>
    </row>
    <row r="212" spans="1:5">
      <c r="A212" s="8" t="str">
        <f t="shared" ca="1" si="4"/>
        <v/>
      </c>
      <c r="B212" s="12"/>
      <c r="C212" s="4"/>
      <c r="D212" s="11"/>
      <c r="E212" s="2"/>
    </row>
    <row r="213" spans="1:5">
      <c r="A213" s="8" t="str">
        <f t="shared" ca="1" si="4"/>
        <v/>
      </c>
      <c r="B213" s="12"/>
      <c r="C213" s="4"/>
      <c r="D213" s="11"/>
      <c r="E213" s="2"/>
    </row>
    <row r="214" spans="1:5">
      <c r="A214" s="8" t="str">
        <f t="shared" ca="1" si="4"/>
        <v/>
      </c>
      <c r="B214" s="12"/>
      <c r="C214" s="4"/>
      <c r="D214" s="11"/>
      <c r="E214" s="2"/>
    </row>
    <row r="215" spans="1:5">
      <c r="A215" s="8" t="str">
        <f t="shared" ca="1" si="4"/>
        <v/>
      </c>
      <c r="B215" s="12"/>
      <c r="C215" s="4"/>
      <c r="D215" s="11"/>
      <c r="E215" s="2"/>
    </row>
    <row r="216" spans="1:5">
      <c r="A216" s="8" t="str">
        <f t="shared" ca="1" si="4"/>
        <v/>
      </c>
      <c r="B216" s="12"/>
      <c r="C216" s="4"/>
      <c r="D216" s="11"/>
      <c r="E216" s="2"/>
    </row>
    <row r="217" spans="1:5">
      <c r="A217" s="8" t="str">
        <f t="shared" ca="1" si="4"/>
        <v/>
      </c>
      <c r="B217" s="12"/>
      <c r="C217" s="4"/>
      <c r="D217" s="11"/>
      <c r="E217" s="2"/>
    </row>
    <row r="218" spans="1:5">
      <c r="A218" s="8" t="str">
        <f t="shared" ca="1" si="4"/>
        <v/>
      </c>
      <c r="B218" s="12"/>
      <c r="C218" s="4"/>
      <c r="D218" s="11"/>
      <c r="E218" s="2"/>
    </row>
    <row r="219" spans="1:5">
      <c r="A219" s="8" t="str">
        <f t="shared" ca="1" si="4"/>
        <v/>
      </c>
      <c r="B219" s="12"/>
      <c r="C219" s="4"/>
      <c r="D219" s="11"/>
      <c r="E219" s="2"/>
    </row>
    <row r="220" spans="1:5">
      <c r="A220" s="8" t="str">
        <f t="shared" ca="1" si="4"/>
        <v/>
      </c>
      <c r="B220" s="12"/>
      <c r="C220" s="4"/>
      <c r="D220" s="11"/>
      <c r="E220" s="2"/>
    </row>
    <row r="221" spans="1:5">
      <c r="A221" s="8" t="str">
        <f t="shared" ca="1" si="4"/>
        <v/>
      </c>
      <c r="B221" s="12"/>
      <c r="C221" s="4"/>
      <c r="D221" s="11"/>
      <c r="E221" s="2"/>
    </row>
    <row r="222" spans="1:5">
      <c r="A222" s="8" t="str">
        <f t="shared" ca="1" si="4"/>
        <v/>
      </c>
      <c r="B222" s="12"/>
      <c r="C222" s="4"/>
      <c r="D222" s="11"/>
      <c r="E222" s="2"/>
    </row>
    <row r="223" spans="1:5">
      <c r="A223" s="8" t="str">
        <f t="shared" ca="1" si="4"/>
        <v/>
      </c>
      <c r="B223" s="12"/>
      <c r="C223" s="4"/>
      <c r="D223" s="11"/>
      <c r="E223" s="2"/>
    </row>
    <row r="224" spans="1:5">
      <c r="A224" s="8" t="str">
        <f t="shared" ca="1" si="4"/>
        <v/>
      </c>
      <c r="B224" s="12"/>
      <c r="C224" s="4"/>
      <c r="D224" s="11"/>
      <c r="E224" s="2"/>
    </row>
    <row r="225" spans="1:5">
      <c r="A225" s="8" t="str">
        <f t="shared" ca="1" si="4"/>
        <v/>
      </c>
      <c r="B225" s="12"/>
      <c r="C225" s="4"/>
      <c r="D225" s="11"/>
      <c r="E225" s="2"/>
    </row>
    <row r="226" spans="1:5">
      <c r="A226" s="8" t="str">
        <f t="shared" ca="1" si="4"/>
        <v/>
      </c>
      <c r="B226" s="12"/>
      <c r="C226" s="4"/>
      <c r="D226" s="11"/>
      <c r="E226" s="2"/>
    </row>
    <row r="227" spans="1:5">
      <c r="A227" s="8" t="str">
        <f t="shared" ca="1" si="4"/>
        <v/>
      </c>
      <c r="B227" s="12"/>
      <c r="C227" s="4"/>
      <c r="D227" s="11"/>
      <c r="E227" s="2"/>
    </row>
    <row r="228" spans="1:5">
      <c r="A228" s="8" t="str">
        <f t="shared" ca="1" si="4"/>
        <v/>
      </c>
      <c r="B228" s="12"/>
      <c r="C228" s="4"/>
      <c r="D228" s="11"/>
      <c r="E228" s="2"/>
    </row>
    <row r="229" spans="1:5">
      <c r="A229" s="8" t="str">
        <f t="shared" ca="1" si="4"/>
        <v/>
      </c>
      <c r="B229" s="12"/>
      <c r="C229" s="4"/>
      <c r="D229" s="11"/>
      <c r="E229" s="2"/>
    </row>
    <row r="230" spans="1:5">
      <c r="A230" s="8" t="str">
        <f t="shared" ca="1" si="4"/>
        <v/>
      </c>
      <c r="B230" s="12"/>
      <c r="C230" s="4"/>
      <c r="D230" s="11"/>
      <c r="E230" s="2"/>
    </row>
    <row r="231" spans="1:5">
      <c r="A231" s="8" t="str">
        <f t="shared" ca="1" si="4"/>
        <v/>
      </c>
      <c r="B231" s="12"/>
      <c r="C231" s="4"/>
      <c r="D231" s="11"/>
      <c r="E231" s="2"/>
    </row>
    <row r="232" spans="1:5">
      <c r="A232" s="8" t="str">
        <f t="shared" ca="1" si="4"/>
        <v/>
      </c>
      <c r="B232" s="12"/>
      <c r="C232" s="4"/>
      <c r="D232" s="11"/>
      <c r="E232" s="2"/>
    </row>
    <row r="233" spans="1:5">
      <c r="A233" s="8" t="str">
        <f t="shared" ca="1" si="4"/>
        <v/>
      </c>
      <c r="B233" s="12"/>
      <c r="C233" s="4"/>
      <c r="D233" s="11"/>
      <c r="E233" s="2"/>
    </row>
    <row r="234" spans="1:5">
      <c r="A234" s="8" t="str">
        <f t="shared" ca="1" si="4"/>
        <v/>
      </c>
      <c r="B234" s="12"/>
      <c r="C234" s="4"/>
      <c r="D234" s="11"/>
      <c r="E234" s="2"/>
    </row>
    <row r="235" spans="1:5">
      <c r="A235" s="8" t="str">
        <f t="shared" ca="1" si="4"/>
        <v/>
      </c>
      <c r="B235" s="12"/>
      <c r="C235" s="4"/>
      <c r="D235" s="11"/>
      <c r="E235" s="2"/>
    </row>
    <row r="236" spans="1:5">
      <c r="A236" s="8" t="str">
        <f t="shared" ca="1" si="4"/>
        <v/>
      </c>
      <c r="B236" s="12"/>
      <c r="C236" s="4"/>
      <c r="D236" s="11"/>
      <c r="E236" s="2"/>
    </row>
    <row r="237" spans="1:5">
      <c r="A237" s="8" t="str">
        <f t="shared" ca="1" si="4"/>
        <v/>
      </c>
      <c r="B237" s="12"/>
      <c r="C237" s="4"/>
      <c r="D237" s="11"/>
      <c r="E237" s="2"/>
    </row>
    <row r="238" spans="1:5">
      <c r="A238" s="8" t="str">
        <f t="shared" ca="1" si="4"/>
        <v/>
      </c>
      <c r="B238" s="12"/>
      <c r="C238" s="4"/>
      <c r="D238" s="11"/>
      <c r="E238" s="2"/>
    </row>
    <row r="239" spans="1:5">
      <c r="A239" s="8" t="str">
        <f t="shared" ca="1" si="4"/>
        <v/>
      </c>
      <c r="B239" s="12"/>
      <c r="C239" s="4"/>
      <c r="D239" s="11"/>
      <c r="E239" s="2"/>
    </row>
    <row r="240" spans="1:5">
      <c r="A240" s="8" t="str">
        <f t="shared" ca="1" si="4"/>
        <v/>
      </c>
      <c r="B240" s="12"/>
      <c r="C240" s="4"/>
      <c r="D240" s="11"/>
      <c r="E240" s="2"/>
    </row>
    <row r="241" spans="1:11">
      <c r="A241" s="8" t="str">
        <f t="shared" ca="1" si="4"/>
        <v/>
      </c>
      <c r="B241" s="12"/>
      <c r="C241" s="4"/>
      <c r="D241" s="11"/>
      <c r="E241" s="2"/>
    </row>
    <row r="242" spans="1:11">
      <c r="A242" s="8" t="str">
        <f t="shared" ca="1" si="4"/>
        <v/>
      </c>
      <c r="B242" s="12"/>
      <c r="C242" s="4"/>
      <c r="D242" s="11"/>
      <c r="E242" s="2"/>
    </row>
    <row r="243" spans="1:11">
      <c r="A243" s="8" t="str">
        <f t="shared" ca="1" si="4"/>
        <v/>
      </c>
      <c r="B243" s="12"/>
      <c r="C243" s="4"/>
      <c r="D243" s="11"/>
      <c r="E243" s="2"/>
    </row>
    <row r="244" spans="1:11">
      <c r="A244" s="8" t="str">
        <f t="shared" ca="1" si="4"/>
        <v/>
      </c>
      <c r="B244" s="12"/>
      <c r="C244" s="4"/>
      <c r="D244" s="11"/>
      <c r="E244" s="2"/>
      <c r="J244" s="7"/>
      <c r="K244" s="11"/>
    </row>
    <row r="245" spans="1:11">
      <c r="A245" s="8" t="str">
        <f t="shared" ca="1" si="4"/>
        <v/>
      </c>
      <c r="B245" s="12"/>
      <c r="C245" s="4"/>
      <c r="D245" s="11"/>
      <c r="E245" s="2"/>
    </row>
    <row r="246" spans="1:11">
      <c r="A246" s="8" t="str">
        <f t="shared" ca="1" si="4"/>
        <v/>
      </c>
      <c r="B246" s="12"/>
      <c r="C246" s="4"/>
      <c r="D246" s="11"/>
      <c r="E246" s="2"/>
    </row>
    <row r="247" spans="1:11">
      <c r="A247" s="8" t="str">
        <f t="shared" ca="1" si="4"/>
        <v/>
      </c>
      <c r="B247" s="12"/>
      <c r="C247" s="4"/>
      <c r="D247" s="11"/>
      <c r="E247" s="2"/>
    </row>
    <row r="248" spans="1:11">
      <c r="A248" s="8" t="str">
        <f t="shared" ca="1" si="4"/>
        <v/>
      </c>
      <c r="B248" s="12"/>
      <c r="C248" s="4"/>
      <c r="D248" s="11"/>
      <c r="E248" s="2"/>
    </row>
    <row r="249" spans="1:11">
      <c r="A249" s="8" t="str">
        <f t="shared" ca="1" si="4"/>
        <v/>
      </c>
      <c r="B249" s="12"/>
      <c r="C249" s="4"/>
      <c r="D249" s="11"/>
      <c r="E249" s="2"/>
    </row>
    <row r="250" spans="1:11">
      <c r="A250" s="8" t="str">
        <f t="shared" ca="1" si="4"/>
        <v/>
      </c>
      <c r="B250" s="12"/>
      <c r="C250" s="4"/>
      <c r="D250" s="11"/>
      <c r="E250" s="2"/>
    </row>
    <row r="251" spans="1:11">
      <c r="A251" s="8" t="str">
        <f t="shared" ca="1" si="4"/>
        <v/>
      </c>
      <c r="B251" s="12"/>
      <c r="C251" s="4"/>
      <c r="D251" s="11"/>
      <c r="E251" s="2"/>
    </row>
    <row r="252" spans="1:11">
      <c r="A252" s="8" t="str">
        <f t="shared" ca="1" si="4"/>
        <v/>
      </c>
      <c r="B252" s="12"/>
      <c r="C252" s="4"/>
      <c r="D252" s="11"/>
      <c r="E252" s="2"/>
    </row>
    <row r="253" spans="1:11">
      <c r="A253" s="8" t="str">
        <f t="shared" ca="1" si="4"/>
        <v/>
      </c>
      <c r="B253" s="12"/>
      <c r="C253" s="4"/>
      <c r="D253" s="11"/>
      <c r="E253" s="2"/>
    </row>
    <row r="254" spans="1:11">
      <c r="A254" s="8" t="str">
        <f t="shared" ca="1" si="4"/>
        <v/>
      </c>
      <c r="B254" s="12"/>
      <c r="C254" s="4"/>
      <c r="D254" s="11"/>
      <c r="E254" s="2"/>
    </row>
    <row r="255" spans="1:11">
      <c r="A255" s="8" t="str">
        <f t="shared" ca="1" si="4"/>
        <v/>
      </c>
      <c r="B255" s="12"/>
      <c r="C255" s="4"/>
      <c r="D255" s="11"/>
      <c r="E255" s="2"/>
    </row>
    <row r="256" spans="1:11">
      <c r="A256" s="8" t="str">
        <f t="shared" ca="1" si="4"/>
        <v/>
      </c>
      <c r="B256" s="12"/>
      <c r="C256" s="4"/>
      <c r="D256" s="11"/>
      <c r="E256" s="2"/>
    </row>
    <row r="257" spans="1:5">
      <c r="A257" s="8" t="str">
        <f t="shared" ca="1" si="4"/>
        <v/>
      </c>
      <c r="B257" s="12"/>
      <c r="C257" s="4"/>
      <c r="D257" s="11"/>
      <c r="E257" s="2"/>
    </row>
    <row r="258" spans="1:5">
      <c r="A258" s="8" t="str">
        <f t="shared" ca="1" si="4"/>
        <v/>
      </c>
      <c r="B258" s="12"/>
      <c r="C258" s="4"/>
      <c r="D258" s="11"/>
      <c r="E258" s="2"/>
    </row>
    <row r="259" spans="1:5">
      <c r="A259" s="8" t="str">
        <f t="shared" ca="1" si="4"/>
        <v/>
      </c>
      <c r="B259" s="12"/>
      <c r="C259" s="4"/>
      <c r="D259" s="11"/>
      <c r="E259" s="2"/>
    </row>
    <row r="260" spans="1:5">
      <c r="A260" s="8" t="str">
        <f t="shared" ca="1" si="4"/>
        <v/>
      </c>
      <c r="B260" s="12"/>
      <c r="C260" s="4"/>
      <c r="D260" s="11"/>
      <c r="E260" s="2"/>
    </row>
    <row r="261" spans="1:5">
      <c r="A261" s="8" t="str">
        <f t="shared" ca="1" si="4"/>
        <v/>
      </c>
      <c r="B261" s="12"/>
      <c r="C261" s="4"/>
      <c r="D261" s="11"/>
      <c r="E261" s="2"/>
    </row>
    <row r="262" spans="1:5">
      <c r="A262" s="8" t="str">
        <f t="shared" ca="1" si="4"/>
        <v/>
      </c>
      <c r="B262" s="12"/>
      <c r="C262" s="4"/>
      <c r="D262" s="11"/>
      <c r="E262" s="2"/>
    </row>
    <row r="263" spans="1:5">
      <c r="A263" s="8" t="str">
        <f t="shared" ca="1" si="4"/>
        <v/>
      </c>
      <c r="B263" s="12"/>
      <c r="C263" s="4"/>
      <c r="D263" s="11"/>
      <c r="E263" s="2"/>
    </row>
    <row r="264" spans="1:5">
      <c r="A264" s="8" t="str">
        <f t="shared" ca="1" si="4"/>
        <v/>
      </c>
      <c r="B264" s="12"/>
      <c r="C264" s="4"/>
      <c r="D264" s="11"/>
      <c r="E264" s="2"/>
    </row>
    <row r="265" spans="1:5">
      <c r="A265" s="8" t="str">
        <f t="shared" ca="1" si="4"/>
        <v/>
      </c>
      <c r="B265" s="12"/>
      <c r="C265" s="4"/>
      <c r="D265" s="11"/>
      <c r="E265" s="2"/>
    </row>
    <row r="266" spans="1:5">
      <c r="A266" s="8" t="str">
        <f t="shared" ref="A266:A329" ca="1" si="5">IF(B266="","",IF(A266="",TODAY(),A266))</f>
        <v/>
      </c>
      <c r="B266" s="12"/>
      <c r="C266" s="4"/>
      <c r="D266" s="11"/>
      <c r="E266" s="2"/>
    </row>
    <row r="267" spans="1:5">
      <c r="A267" s="8" t="str">
        <f t="shared" ca="1" si="5"/>
        <v/>
      </c>
      <c r="B267" s="12"/>
      <c r="C267" s="4"/>
      <c r="D267" s="11"/>
      <c r="E267" s="2"/>
    </row>
    <row r="268" spans="1:5">
      <c r="A268" s="8" t="str">
        <f t="shared" ca="1" si="5"/>
        <v/>
      </c>
      <c r="B268" s="12"/>
      <c r="C268" s="4"/>
      <c r="D268" s="11"/>
      <c r="E268" s="2"/>
    </row>
    <row r="269" spans="1:5">
      <c r="A269" s="8" t="str">
        <f t="shared" ca="1" si="5"/>
        <v/>
      </c>
      <c r="B269" s="12"/>
      <c r="C269" s="4"/>
      <c r="D269" s="11"/>
      <c r="E269" s="2"/>
    </row>
    <row r="270" spans="1:5">
      <c r="A270" s="8" t="str">
        <f t="shared" ca="1" si="5"/>
        <v/>
      </c>
      <c r="B270" s="12"/>
      <c r="C270" s="4"/>
      <c r="D270" s="11"/>
      <c r="E270" s="2"/>
    </row>
    <row r="271" spans="1:5">
      <c r="A271" s="8" t="str">
        <f t="shared" ca="1" si="5"/>
        <v/>
      </c>
      <c r="B271" s="12"/>
      <c r="C271" s="4"/>
      <c r="D271" s="11"/>
      <c r="E271" s="2"/>
    </row>
    <row r="272" spans="1:5">
      <c r="A272" s="8" t="str">
        <f t="shared" ca="1" si="5"/>
        <v/>
      </c>
      <c r="B272" s="12"/>
      <c r="C272" s="4"/>
      <c r="D272" s="11"/>
      <c r="E272" s="2"/>
    </row>
    <row r="273" spans="1:5">
      <c r="A273" s="8" t="str">
        <f t="shared" ca="1" si="5"/>
        <v/>
      </c>
      <c r="B273" s="12"/>
      <c r="C273" s="4"/>
      <c r="D273" s="11"/>
      <c r="E273" s="2"/>
    </row>
    <row r="274" spans="1:5">
      <c r="A274" s="8" t="str">
        <f t="shared" ca="1" si="5"/>
        <v/>
      </c>
      <c r="B274" s="12"/>
      <c r="C274" s="4"/>
      <c r="D274" s="11"/>
      <c r="E274" s="2"/>
    </row>
    <row r="275" spans="1:5">
      <c r="A275" s="8" t="str">
        <f t="shared" ca="1" si="5"/>
        <v/>
      </c>
      <c r="B275" s="12"/>
      <c r="C275" s="4"/>
      <c r="D275" s="11"/>
      <c r="E275" s="2"/>
    </row>
    <row r="276" spans="1:5">
      <c r="A276" s="8" t="str">
        <f t="shared" ca="1" si="5"/>
        <v/>
      </c>
      <c r="B276" s="12"/>
      <c r="C276" s="4"/>
      <c r="D276" s="11"/>
      <c r="E276" s="2"/>
    </row>
    <row r="277" spans="1:5">
      <c r="A277" s="8" t="str">
        <f t="shared" ca="1" si="5"/>
        <v/>
      </c>
      <c r="B277" s="12"/>
      <c r="C277" s="4"/>
      <c r="D277" s="11"/>
      <c r="E277" s="2"/>
    </row>
    <row r="278" spans="1:5">
      <c r="A278" s="8" t="str">
        <f t="shared" ca="1" si="5"/>
        <v/>
      </c>
      <c r="B278" s="12"/>
      <c r="C278" s="4"/>
      <c r="D278" s="11"/>
      <c r="E278" s="2"/>
    </row>
    <row r="279" spans="1:5">
      <c r="A279" s="8" t="str">
        <f t="shared" ca="1" si="5"/>
        <v/>
      </c>
      <c r="B279" s="12"/>
      <c r="C279" s="4"/>
      <c r="D279" s="11"/>
      <c r="E279" s="2"/>
    </row>
    <row r="280" spans="1:5">
      <c r="A280" s="8" t="str">
        <f t="shared" ca="1" si="5"/>
        <v/>
      </c>
      <c r="B280" s="12"/>
      <c r="C280" s="4"/>
      <c r="D280" s="11"/>
      <c r="E280" s="2"/>
    </row>
    <row r="281" spans="1:5">
      <c r="A281" s="8" t="str">
        <f t="shared" ca="1" si="5"/>
        <v/>
      </c>
      <c r="B281" s="12"/>
      <c r="C281" s="4"/>
      <c r="D281" s="11"/>
      <c r="E281" s="2"/>
    </row>
    <row r="282" spans="1:5">
      <c r="A282" s="8" t="str">
        <f t="shared" ca="1" si="5"/>
        <v/>
      </c>
      <c r="B282" s="12"/>
      <c r="C282" s="4"/>
      <c r="D282" s="11"/>
      <c r="E282" s="2"/>
    </row>
    <row r="283" spans="1:5">
      <c r="A283" s="8" t="str">
        <f t="shared" ca="1" si="5"/>
        <v/>
      </c>
      <c r="B283" s="12"/>
      <c r="C283" s="4"/>
      <c r="D283" s="11"/>
      <c r="E283" s="2"/>
    </row>
    <row r="284" spans="1:5">
      <c r="A284" s="8" t="str">
        <f t="shared" ca="1" si="5"/>
        <v/>
      </c>
      <c r="B284" s="12"/>
      <c r="C284" s="4"/>
      <c r="D284" s="11"/>
      <c r="E284" s="2"/>
    </row>
    <row r="285" spans="1:5">
      <c r="A285" s="8" t="str">
        <f t="shared" ca="1" si="5"/>
        <v/>
      </c>
      <c r="B285" s="12"/>
      <c r="C285" s="4"/>
      <c r="D285" s="11"/>
      <c r="E285" s="2"/>
    </row>
    <row r="286" spans="1:5">
      <c r="A286" s="8" t="str">
        <f t="shared" ca="1" si="5"/>
        <v/>
      </c>
      <c r="B286" s="12"/>
      <c r="C286" s="4"/>
      <c r="D286" s="11"/>
      <c r="E286" s="2"/>
    </row>
    <row r="287" spans="1:5">
      <c r="A287" s="8" t="str">
        <f t="shared" ca="1" si="5"/>
        <v/>
      </c>
      <c r="B287" s="12"/>
      <c r="C287" s="4"/>
      <c r="D287" s="11"/>
      <c r="E287" s="2"/>
    </row>
    <row r="288" spans="1:5">
      <c r="A288" s="8" t="str">
        <f t="shared" ca="1" si="5"/>
        <v/>
      </c>
      <c r="B288" s="12"/>
      <c r="C288" s="4"/>
      <c r="D288" s="11"/>
      <c r="E288" s="2"/>
    </row>
    <row r="289" spans="1:5">
      <c r="A289" s="8" t="str">
        <f t="shared" ca="1" si="5"/>
        <v/>
      </c>
      <c r="B289" s="12"/>
      <c r="C289" s="4"/>
      <c r="D289" s="11"/>
      <c r="E289" s="2"/>
    </row>
    <row r="290" spans="1:5">
      <c r="A290" s="8" t="str">
        <f t="shared" ca="1" si="5"/>
        <v/>
      </c>
      <c r="B290" s="12"/>
      <c r="C290" s="4"/>
      <c r="D290" s="11"/>
      <c r="E290" s="2"/>
    </row>
    <row r="291" spans="1:5">
      <c r="A291" s="8" t="str">
        <f t="shared" ca="1" si="5"/>
        <v/>
      </c>
      <c r="B291" s="12"/>
      <c r="C291" s="4"/>
      <c r="D291" s="11"/>
      <c r="E291" s="2"/>
    </row>
    <row r="292" spans="1:5">
      <c r="A292" s="8" t="str">
        <f t="shared" ca="1" si="5"/>
        <v/>
      </c>
      <c r="B292" s="12"/>
      <c r="C292" s="4"/>
      <c r="D292" s="11"/>
      <c r="E292" s="2"/>
    </row>
    <row r="293" spans="1:5">
      <c r="A293" s="8" t="str">
        <f t="shared" ca="1" si="5"/>
        <v/>
      </c>
      <c r="B293" s="12"/>
      <c r="C293" s="4"/>
      <c r="D293" s="11"/>
      <c r="E293" s="2"/>
    </row>
    <row r="294" spans="1:5">
      <c r="A294" s="8" t="str">
        <f t="shared" ca="1" si="5"/>
        <v/>
      </c>
      <c r="B294" s="12"/>
      <c r="C294" s="4"/>
      <c r="D294" s="11"/>
      <c r="E294" s="2"/>
    </row>
    <row r="295" spans="1:5">
      <c r="A295" s="8" t="str">
        <f t="shared" ca="1" si="5"/>
        <v/>
      </c>
      <c r="B295" s="12"/>
      <c r="C295" s="4"/>
      <c r="D295" s="11"/>
      <c r="E295" s="2"/>
    </row>
    <row r="296" spans="1:5">
      <c r="A296" s="8" t="str">
        <f t="shared" ca="1" si="5"/>
        <v/>
      </c>
      <c r="B296" s="12"/>
      <c r="C296" s="4"/>
      <c r="D296" s="11"/>
      <c r="E296" s="2"/>
    </row>
    <row r="297" spans="1:5">
      <c r="A297" s="8" t="str">
        <f t="shared" ca="1" si="5"/>
        <v/>
      </c>
      <c r="B297" s="12"/>
      <c r="C297" s="4"/>
      <c r="D297" s="11"/>
      <c r="E297" s="2"/>
    </row>
    <row r="298" spans="1:5">
      <c r="A298" s="8" t="str">
        <f t="shared" ca="1" si="5"/>
        <v/>
      </c>
      <c r="B298" s="12"/>
      <c r="C298" s="4"/>
      <c r="D298" s="11"/>
      <c r="E298" s="2"/>
    </row>
    <row r="299" spans="1:5">
      <c r="A299" s="8" t="str">
        <f t="shared" ca="1" si="5"/>
        <v/>
      </c>
      <c r="B299" s="12"/>
      <c r="C299" s="4"/>
      <c r="D299" s="11"/>
      <c r="E299" s="2"/>
    </row>
    <row r="300" spans="1:5">
      <c r="A300" s="8" t="str">
        <f t="shared" ca="1" si="5"/>
        <v/>
      </c>
      <c r="B300" s="12"/>
      <c r="C300" s="4"/>
      <c r="D300" s="11"/>
      <c r="E300" s="2"/>
    </row>
    <row r="301" spans="1:5">
      <c r="A301" s="8" t="str">
        <f t="shared" ca="1" si="5"/>
        <v/>
      </c>
      <c r="B301" s="12"/>
      <c r="C301" s="4"/>
      <c r="D301" s="11"/>
      <c r="E301" s="2"/>
    </row>
    <row r="302" spans="1:5">
      <c r="A302" s="8" t="str">
        <f t="shared" ca="1" si="5"/>
        <v/>
      </c>
      <c r="B302" s="12"/>
      <c r="C302" s="4"/>
      <c r="D302" s="11"/>
      <c r="E302" s="2"/>
    </row>
    <row r="303" spans="1:5">
      <c r="A303" s="8" t="str">
        <f t="shared" ca="1" si="5"/>
        <v/>
      </c>
      <c r="B303" s="12"/>
      <c r="C303" s="4"/>
      <c r="D303" s="11"/>
      <c r="E303" s="2"/>
    </row>
    <row r="304" spans="1:5">
      <c r="A304" s="8" t="str">
        <f t="shared" ca="1" si="5"/>
        <v/>
      </c>
      <c r="B304" s="12"/>
      <c r="C304" s="4"/>
      <c r="D304" s="11"/>
      <c r="E304" s="2"/>
    </row>
    <row r="305" spans="1:5">
      <c r="A305" s="8" t="str">
        <f t="shared" ca="1" si="5"/>
        <v/>
      </c>
      <c r="B305" s="12"/>
      <c r="C305" s="4"/>
      <c r="D305" s="11"/>
      <c r="E305" s="2"/>
    </row>
    <row r="306" spans="1:5">
      <c r="A306" s="8" t="str">
        <f t="shared" ca="1" si="5"/>
        <v/>
      </c>
      <c r="B306" s="12"/>
      <c r="C306" s="4"/>
      <c r="D306" s="11"/>
      <c r="E306" s="2"/>
    </row>
    <row r="307" spans="1:5">
      <c r="A307" s="8" t="str">
        <f t="shared" ca="1" si="5"/>
        <v/>
      </c>
      <c r="B307" s="12"/>
      <c r="C307" s="4"/>
      <c r="D307" s="11"/>
      <c r="E307" s="2"/>
    </row>
    <row r="308" spans="1:5">
      <c r="A308" s="8" t="str">
        <f t="shared" ca="1" si="5"/>
        <v/>
      </c>
      <c r="B308" s="12"/>
      <c r="C308" s="4"/>
      <c r="D308" s="11"/>
      <c r="E308" s="2"/>
    </row>
    <row r="309" spans="1:5">
      <c r="A309" s="8" t="str">
        <f t="shared" ca="1" si="5"/>
        <v/>
      </c>
      <c r="B309" s="12"/>
      <c r="C309" s="4"/>
      <c r="D309" s="11"/>
      <c r="E309" s="2"/>
    </row>
    <row r="310" spans="1:5">
      <c r="A310" s="8" t="str">
        <f t="shared" ca="1" si="5"/>
        <v/>
      </c>
      <c r="B310" s="12"/>
      <c r="C310" s="4"/>
      <c r="D310" s="11"/>
      <c r="E310" s="2"/>
    </row>
    <row r="311" spans="1:5">
      <c r="A311" s="8" t="str">
        <f t="shared" ca="1" si="5"/>
        <v/>
      </c>
      <c r="B311" s="12"/>
      <c r="C311" s="4"/>
      <c r="D311" s="11"/>
      <c r="E311" s="2"/>
    </row>
    <row r="312" spans="1:5">
      <c r="A312" s="8" t="str">
        <f t="shared" ca="1" si="5"/>
        <v/>
      </c>
      <c r="B312" s="12"/>
      <c r="C312" s="4"/>
      <c r="D312" s="11"/>
      <c r="E312" s="2"/>
    </row>
    <row r="313" spans="1:5">
      <c r="A313" s="8" t="str">
        <f t="shared" ca="1" si="5"/>
        <v/>
      </c>
      <c r="B313" s="12"/>
      <c r="C313" s="4"/>
      <c r="D313" s="11"/>
      <c r="E313" s="2"/>
    </row>
    <row r="314" spans="1:5">
      <c r="A314" s="8" t="str">
        <f t="shared" ca="1" si="5"/>
        <v/>
      </c>
      <c r="B314" s="12"/>
      <c r="C314" s="4"/>
      <c r="D314" s="11"/>
      <c r="E314" s="2"/>
    </row>
    <row r="315" spans="1:5">
      <c r="A315" s="8" t="str">
        <f t="shared" ca="1" si="5"/>
        <v/>
      </c>
      <c r="B315" s="12"/>
      <c r="C315" s="4"/>
      <c r="D315" s="11"/>
      <c r="E315" s="2"/>
    </row>
    <row r="316" spans="1:5">
      <c r="A316" s="8" t="str">
        <f t="shared" ca="1" si="5"/>
        <v/>
      </c>
      <c r="B316" s="12"/>
      <c r="C316" s="4"/>
      <c r="D316" s="11"/>
      <c r="E316" s="2"/>
    </row>
    <row r="317" spans="1:5">
      <c r="A317" s="8" t="str">
        <f t="shared" ca="1" si="5"/>
        <v/>
      </c>
      <c r="B317" s="12"/>
      <c r="C317" s="4"/>
      <c r="D317" s="11"/>
      <c r="E317" s="2"/>
    </row>
    <row r="318" spans="1:5">
      <c r="A318" s="8" t="str">
        <f t="shared" ca="1" si="5"/>
        <v/>
      </c>
      <c r="B318" s="12"/>
      <c r="C318" s="4"/>
      <c r="D318" s="11"/>
      <c r="E318" s="2"/>
    </row>
    <row r="319" spans="1:5">
      <c r="A319" s="8" t="str">
        <f t="shared" ca="1" si="5"/>
        <v/>
      </c>
      <c r="B319" s="12"/>
      <c r="C319" s="4"/>
      <c r="D319" s="11"/>
      <c r="E319" s="2"/>
    </row>
    <row r="320" spans="1:5">
      <c r="A320" s="8" t="str">
        <f t="shared" ca="1" si="5"/>
        <v/>
      </c>
      <c r="B320" s="12"/>
      <c r="C320" s="4"/>
      <c r="D320" s="11"/>
      <c r="E320" s="2"/>
    </row>
    <row r="321" spans="1:5">
      <c r="A321" s="8" t="str">
        <f t="shared" ca="1" si="5"/>
        <v/>
      </c>
      <c r="B321" s="12"/>
      <c r="C321" s="4"/>
      <c r="D321" s="11"/>
      <c r="E321" s="2"/>
    </row>
    <row r="322" spans="1:5">
      <c r="A322" s="8" t="str">
        <f t="shared" ca="1" si="5"/>
        <v/>
      </c>
      <c r="B322" s="12"/>
      <c r="C322" s="4"/>
      <c r="D322" s="11"/>
      <c r="E322" s="2"/>
    </row>
    <row r="323" spans="1:5">
      <c r="A323" s="8" t="str">
        <f t="shared" ca="1" si="5"/>
        <v/>
      </c>
      <c r="B323" s="12"/>
      <c r="C323" s="4"/>
      <c r="D323" s="11"/>
      <c r="E323" s="2"/>
    </row>
    <row r="324" spans="1:5">
      <c r="A324" s="8" t="str">
        <f t="shared" ca="1" si="5"/>
        <v/>
      </c>
      <c r="B324" s="12"/>
      <c r="C324" s="4"/>
      <c r="D324" s="11"/>
      <c r="E324" s="2"/>
    </row>
    <row r="325" spans="1:5">
      <c r="A325" s="8" t="str">
        <f t="shared" ca="1" si="5"/>
        <v/>
      </c>
      <c r="B325" s="12"/>
      <c r="C325" s="4"/>
      <c r="D325" s="11"/>
      <c r="E325" s="2"/>
    </row>
    <row r="326" spans="1:5">
      <c r="A326" s="8" t="str">
        <f t="shared" ca="1" si="5"/>
        <v/>
      </c>
      <c r="B326" s="12"/>
      <c r="C326" s="4"/>
      <c r="D326" s="11"/>
      <c r="E326" s="2"/>
    </row>
    <row r="327" spans="1:5">
      <c r="A327" s="8" t="str">
        <f t="shared" ca="1" si="5"/>
        <v/>
      </c>
      <c r="B327" s="12"/>
      <c r="C327" s="4"/>
      <c r="D327" s="11"/>
      <c r="E327" s="2"/>
    </row>
    <row r="328" spans="1:5">
      <c r="A328" s="8" t="str">
        <f t="shared" ca="1" si="5"/>
        <v/>
      </c>
      <c r="B328" s="12"/>
      <c r="C328" s="4"/>
      <c r="D328" s="11"/>
      <c r="E328" s="2"/>
    </row>
    <row r="329" spans="1:5">
      <c r="A329" s="8" t="str">
        <f t="shared" ca="1" si="5"/>
        <v/>
      </c>
      <c r="B329" s="12"/>
      <c r="C329" s="4"/>
      <c r="D329" s="11"/>
      <c r="E329" s="2"/>
    </row>
    <row r="330" spans="1:5">
      <c r="A330" s="8" t="str">
        <f t="shared" ref="A330:A393" ca="1" si="6">IF(B330="","",IF(A330="",TODAY(),A330))</f>
        <v/>
      </c>
      <c r="B330" s="12"/>
      <c r="C330" s="4"/>
      <c r="D330" s="11"/>
      <c r="E330" s="2"/>
    </row>
    <row r="331" spans="1:5">
      <c r="A331" s="8" t="str">
        <f t="shared" ca="1" si="6"/>
        <v/>
      </c>
      <c r="B331" s="12"/>
      <c r="C331" s="4"/>
      <c r="D331" s="11"/>
      <c r="E331" s="2"/>
    </row>
    <row r="332" spans="1:5">
      <c r="A332" s="8" t="str">
        <f t="shared" ca="1" si="6"/>
        <v/>
      </c>
      <c r="B332" s="12"/>
      <c r="C332" s="4"/>
      <c r="D332" s="11"/>
      <c r="E332" s="2"/>
    </row>
    <row r="333" spans="1:5">
      <c r="A333" s="8" t="str">
        <f t="shared" ca="1" si="6"/>
        <v/>
      </c>
      <c r="B333" s="12"/>
      <c r="C333" s="4"/>
      <c r="D333" s="11"/>
      <c r="E333" s="2"/>
    </row>
    <row r="334" spans="1:5">
      <c r="A334" s="8" t="str">
        <f t="shared" ca="1" si="6"/>
        <v/>
      </c>
      <c r="B334" s="12"/>
      <c r="C334" s="4"/>
      <c r="D334" s="11"/>
      <c r="E334" s="2"/>
    </row>
    <row r="335" spans="1:5">
      <c r="A335" s="8" t="str">
        <f t="shared" ca="1" si="6"/>
        <v/>
      </c>
      <c r="B335" s="12"/>
      <c r="C335" s="4"/>
      <c r="D335" s="11"/>
      <c r="E335" s="2"/>
    </row>
    <row r="336" spans="1:5">
      <c r="A336" s="8" t="str">
        <f t="shared" ca="1" si="6"/>
        <v/>
      </c>
      <c r="B336" s="12"/>
      <c r="C336" s="4"/>
      <c r="D336" s="11"/>
      <c r="E336" s="2"/>
    </row>
    <row r="337" spans="1:5">
      <c r="A337" s="8" t="str">
        <f t="shared" ca="1" si="6"/>
        <v/>
      </c>
      <c r="B337" s="12"/>
      <c r="C337" s="4"/>
      <c r="D337" s="11"/>
      <c r="E337" s="2"/>
    </row>
    <row r="338" spans="1:5">
      <c r="A338" s="8" t="str">
        <f t="shared" ca="1" si="6"/>
        <v/>
      </c>
      <c r="B338" s="12"/>
      <c r="C338" s="4"/>
      <c r="D338" s="11"/>
      <c r="E338" s="2"/>
    </row>
    <row r="339" spans="1:5">
      <c r="A339" s="8" t="str">
        <f t="shared" ca="1" si="6"/>
        <v/>
      </c>
      <c r="B339" s="12"/>
      <c r="C339" s="4"/>
      <c r="D339" s="11"/>
      <c r="E339" s="2"/>
    </row>
    <row r="340" spans="1:5">
      <c r="A340" s="8" t="str">
        <f t="shared" ca="1" si="6"/>
        <v/>
      </c>
      <c r="B340" s="12"/>
      <c r="C340" s="4"/>
      <c r="D340" s="11"/>
      <c r="E340" s="2"/>
    </row>
    <row r="341" spans="1:5">
      <c r="A341" s="8" t="str">
        <f t="shared" ca="1" si="6"/>
        <v/>
      </c>
      <c r="B341" s="12"/>
      <c r="C341" s="4"/>
      <c r="D341" s="11"/>
      <c r="E341" s="2"/>
    </row>
    <row r="342" spans="1:5">
      <c r="A342" s="8" t="str">
        <f t="shared" ca="1" si="6"/>
        <v/>
      </c>
      <c r="B342" s="12"/>
      <c r="C342" s="4"/>
      <c r="D342" s="11"/>
      <c r="E342" s="2"/>
    </row>
    <row r="343" spans="1:5">
      <c r="A343" s="8" t="str">
        <f t="shared" ca="1" si="6"/>
        <v/>
      </c>
      <c r="B343" s="12"/>
      <c r="C343" s="4"/>
      <c r="D343" s="11"/>
      <c r="E343" s="2"/>
    </row>
    <row r="344" spans="1:5">
      <c r="A344" s="8" t="str">
        <f t="shared" ca="1" si="6"/>
        <v/>
      </c>
      <c r="B344" s="12"/>
      <c r="C344" s="4"/>
      <c r="D344" s="11"/>
      <c r="E344" s="2"/>
    </row>
    <row r="345" spans="1:5">
      <c r="A345" s="8" t="str">
        <f t="shared" ca="1" si="6"/>
        <v/>
      </c>
      <c r="B345" s="12"/>
      <c r="C345" s="4"/>
      <c r="D345" s="11"/>
      <c r="E345" s="2"/>
    </row>
    <row r="346" spans="1:5">
      <c r="A346" s="8" t="str">
        <f t="shared" ca="1" si="6"/>
        <v/>
      </c>
      <c r="B346" s="12"/>
      <c r="C346" s="4"/>
      <c r="D346" s="11"/>
      <c r="E346" s="2"/>
    </row>
    <row r="347" spans="1:5">
      <c r="A347" s="8" t="str">
        <f t="shared" ca="1" si="6"/>
        <v/>
      </c>
      <c r="B347" s="12"/>
      <c r="C347" s="4"/>
      <c r="D347" s="11"/>
      <c r="E347" s="2"/>
    </row>
    <row r="348" spans="1:5">
      <c r="A348" s="8" t="str">
        <f t="shared" ca="1" si="6"/>
        <v/>
      </c>
      <c r="B348" s="12"/>
      <c r="C348" s="4"/>
      <c r="D348" s="11"/>
      <c r="E348" s="2"/>
    </row>
    <row r="349" spans="1:5">
      <c r="A349" s="8" t="str">
        <f t="shared" ca="1" si="6"/>
        <v/>
      </c>
      <c r="B349" s="12"/>
      <c r="C349" s="4"/>
      <c r="D349" s="11"/>
      <c r="E349" s="2"/>
    </row>
    <row r="350" spans="1:5">
      <c r="A350" s="8" t="str">
        <f t="shared" ca="1" si="6"/>
        <v/>
      </c>
      <c r="B350" s="12"/>
      <c r="C350" s="4"/>
      <c r="D350" s="11"/>
      <c r="E350" s="2"/>
    </row>
    <row r="351" spans="1:5">
      <c r="A351" s="8" t="str">
        <f t="shared" ca="1" si="6"/>
        <v/>
      </c>
      <c r="B351" s="12"/>
      <c r="C351" s="4"/>
      <c r="D351" s="11"/>
      <c r="E351" s="2"/>
    </row>
    <row r="352" spans="1:5">
      <c r="A352" s="8" t="str">
        <f t="shared" ca="1" si="6"/>
        <v/>
      </c>
      <c r="B352" s="12"/>
      <c r="C352" s="4"/>
      <c r="D352" s="11"/>
      <c r="E352" s="2"/>
    </row>
    <row r="353" spans="1:5">
      <c r="A353" s="8" t="str">
        <f t="shared" ca="1" si="6"/>
        <v/>
      </c>
      <c r="B353" s="12"/>
      <c r="C353" s="4"/>
      <c r="D353" s="11"/>
      <c r="E353" s="2"/>
    </row>
    <row r="354" spans="1:5">
      <c r="A354" s="8" t="str">
        <f t="shared" ca="1" si="6"/>
        <v/>
      </c>
      <c r="B354" s="12"/>
      <c r="C354" s="4"/>
      <c r="D354" s="11"/>
      <c r="E354" s="2"/>
    </row>
    <row r="355" spans="1:5">
      <c r="A355" s="8" t="str">
        <f t="shared" ca="1" si="6"/>
        <v/>
      </c>
      <c r="B355" s="12"/>
      <c r="C355" s="4"/>
      <c r="D355" s="11"/>
      <c r="E355" s="2"/>
    </row>
    <row r="356" spans="1:5">
      <c r="A356" s="8" t="str">
        <f t="shared" ca="1" si="6"/>
        <v/>
      </c>
      <c r="B356" s="12"/>
      <c r="C356" s="4"/>
      <c r="D356" s="11"/>
      <c r="E356" s="2"/>
    </row>
    <row r="357" spans="1:5">
      <c r="A357" s="8" t="str">
        <f t="shared" ca="1" si="6"/>
        <v/>
      </c>
      <c r="B357" s="12"/>
      <c r="C357" s="4"/>
      <c r="D357" s="11"/>
      <c r="E357" s="2"/>
    </row>
    <row r="358" spans="1:5">
      <c r="A358" s="8" t="str">
        <f t="shared" ca="1" si="6"/>
        <v/>
      </c>
      <c r="B358" s="12"/>
      <c r="C358" s="4"/>
      <c r="D358" s="11"/>
      <c r="E358" s="2"/>
    </row>
    <row r="359" spans="1:5">
      <c r="A359" s="8" t="str">
        <f t="shared" ca="1" si="6"/>
        <v/>
      </c>
      <c r="B359" s="12"/>
      <c r="C359" s="4"/>
      <c r="D359" s="11"/>
      <c r="E359" s="2"/>
    </row>
    <row r="360" spans="1:5">
      <c r="A360" s="8" t="str">
        <f t="shared" ca="1" si="6"/>
        <v/>
      </c>
      <c r="B360" s="12"/>
      <c r="C360" s="4"/>
      <c r="D360" s="11"/>
      <c r="E360" s="2"/>
    </row>
    <row r="361" spans="1:5">
      <c r="A361" s="8" t="str">
        <f t="shared" ca="1" si="6"/>
        <v/>
      </c>
      <c r="B361" s="12"/>
      <c r="C361" s="4"/>
      <c r="D361" s="11"/>
      <c r="E361" s="2"/>
    </row>
    <row r="362" spans="1:5">
      <c r="A362" s="8" t="str">
        <f t="shared" ca="1" si="6"/>
        <v/>
      </c>
      <c r="B362" s="12"/>
      <c r="C362" s="4"/>
      <c r="D362" s="11"/>
      <c r="E362" s="2"/>
    </row>
    <row r="363" spans="1:5">
      <c r="A363" s="8" t="str">
        <f t="shared" ca="1" si="6"/>
        <v/>
      </c>
      <c r="B363" s="12"/>
      <c r="C363" s="4"/>
      <c r="D363" s="11"/>
      <c r="E363" s="2"/>
    </row>
    <row r="364" spans="1:5">
      <c r="A364" s="8" t="str">
        <f t="shared" ca="1" si="6"/>
        <v/>
      </c>
      <c r="B364" s="12"/>
      <c r="C364" s="4"/>
      <c r="D364" s="11"/>
      <c r="E364" s="2"/>
    </row>
    <row r="365" spans="1:5">
      <c r="A365" s="8" t="str">
        <f t="shared" ca="1" si="6"/>
        <v/>
      </c>
      <c r="B365" s="12"/>
      <c r="C365" s="4"/>
      <c r="D365" s="11"/>
      <c r="E365" s="2"/>
    </row>
    <row r="366" spans="1:5">
      <c r="A366" s="8" t="str">
        <f t="shared" ca="1" si="6"/>
        <v/>
      </c>
      <c r="B366" s="12"/>
      <c r="C366" s="4"/>
      <c r="D366" s="11"/>
      <c r="E366" s="2"/>
    </row>
    <row r="367" spans="1:5">
      <c r="A367" s="8" t="str">
        <f t="shared" ca="1" si="6"/>
        <v/>
      </c>
      <c r="B367" s="12"/>
      <c r="C367" s="4"/>
      <c r="D367" s="11"/>
      <c r="E367" s="2"/>
    </row>
    <row r="368" spans="1:5">
      <c r="A368" s="8" t="str">
        <f t="shared" ca="1" si="6"/>
        <v/>
      </c>
      <c r="B368" s="12"/>
      <c r="C368" s="4"/>
      <c r="D368" s="11"/>
      <c r="E368" s="2"/>
    </row>
    <row r="369" spans="1:5">
      <c r="A369" s="8" t="str">
        <f t="shared" ca="1" si="6"/>
        <v/>
      </c>
      <c r="B369" s="12"/>
      <c r="C369" s="4"/>
      <c r="D369" s="11"/>
      <c r="E369" s="2"/>
    </row>
    <row r="370" spans="1:5">
      <c r="A370" s="8" t="str">
        <f t="shared" ca="1" si="6"/>
        <v/>
      </c>
      <c r="B370" s="12"/>
      <c r="C370" s="4"/>
      <c r="D370" s="11"/>
      <c r="E370" s="2"/>
    </row>
    <row r="371" spans="1:5">
      <c r="A371" s="8" t="str">
        <f t="shared" ca="1" si="6"/>
        <v/>
      </c>
      <c r="B371" s="12"/>
      <c r="C371" s="4"/>
      <c r="D371" s="11"/>
      <c r="E371" s="2"/>
    </row>
    <row r="372" spans="1:5">
      <c r="A372" s="8" t="str">
        <f t="shared" ca="1" si="6"/>
        <v/>
      </c>
      <c r="B372" s="12"/>
      <c r="C372" s="4"/>
      <c r="D372" s="11"/>
      <c r="E372" s="2"/>
    </row>
    <row r="373" spans="1:5">
      <c r="A373" s="8" t="str">
        <f t="shared" ca="1" si="6"/>
        <v/>
      </c>
      <c r="B373" s="12"/>
      <c r="C373" s="4"/>
      <c r="D373" s="11"/>
      <c r="E373" s="2"/>
    </row>
    <row r="374" spans="1:5">
      <c r="A374" s="8" t="str">
        <f t="shared" ca="1" si="6"/>
        <v/>
      </c>
      <c r="B374" s="12"/>
      <c r="C374" s="4"/>
      <c r="D374" s="11"/>
      <c r="E374" s="2"/>
    </row>
    <row r="375" spans="1:5">
      <c r="A375" s="8" t="str">
        <f t="shared" ca="1" si="6"/>
        <v/>
      </c>
      <c r="B375" s="12"/>
      <c r="C375" s="4"/>
      <c r="D375" s="11"/>
      <c r="E375" s="2"/>
    </row>
    <row r="376" spans="1:5">
      <c r="A376" s="8" t="str">
        <f t="shared" ca="1" si="6"/>
        <v/>
      </c>
      <c r="B376" s="12"/>
      <c r="C376" s="4"/>
      <c r="D376" s="11"/>
      <c r="E376" s="2"/>
    </row>
    <row r="377" spans="1:5">
      <c r="A377" s="8" t="str">
        <f t="shared" ca="1" si="6"/>
        <v/>
      </c>
      <c r="B377" s="12"/>
      <c r="C377" s="4"/>
      <c r="D377" s="11"/>
      <c r="E377" s="2"/>
    </row>
    <row r="378" spans="1:5">
      <c r="A378" s="8" t="str">
        <f t="shared" ca="1" si="6"/>
        <v/>
      </c>
      <c r="B378" s="12"/>
      <c r="C378" s="4"/>
      <c r="D378" s="11"/>
      <c r="E378" s="2"/>
    </row>
    <row r="379" spans="1:5">
      <c r="A379" s="8" t="str">
        <f t="shared" ca="1" si="6"/>
        <v/>
      </c>
      <c r="B379" s="12"/>
      <c r="C379" s="4"/>
      <c r="D379" s="11"/>
      <c r="E379" s="2"/>
    </row>
    <row r="380" spans="1:5">
      <c r="A380" s="8" t="str">
        <f t="shared" ca="1" si="6"/>
        <v/>
      </c>
      <c r="B380" s="12"/>
      <c r="C380" s="4"/>
      <c r="D380" s="11"/>
      <c r="E380" s="2"/>
    </row>
    <row r="381" spans="1:5">
      <c r="A381" s="8" t="str">
        <f t="shared" ca="1" si="6"/>
        <v/>
      </c>
      <c r="B381" s="12"/>
      <c r="C381" s="4"/>
      <c r="D381" s="11"/>
      <c r="E381" s="2"/>
    </row>
    <row r="382" spans="1:5">
      <c r="A382" s="8" t="str">
        <f t="shared" ca="1" si="6"/>
        <v/>
      </c>
      <c r="B382" s="12"/>
      <c r="C382" s="4"/>
      <c r="D382" s="11"/>
      <c r="E382" s="2"/>
    </row>
    <row r="383" spans="1:5">
      <c r="A383" s="8" t="str">
        <f t="shared" ca="1" si="6"/>
        <v/>
      </c>
      <c r="B383" s="12"/>
      <c r="C383" s="4"/>
      <c r="D383" s="11"/>
      <c r="E383" s="2"/>
    </row>
    <row r="384" spans="1:5">
      <c r="A384" s="8" t="str">
        <f t="shared" ca="1" si="6"/>
        <v/>
      </c>
      <c r="B384" s="12"/>
      <c r="C384" s="4"/>
      <c r="D384" s="11"/>
      <c r="E384" s="2"/>
    </row>
    <row r="385" spans="1:5">
      <c r="A385" s="8" t="str">
        <f t="shared" ca="1" si="6"/>
        <v/>
      </c>
      <c r="B385" s="12"/>
      <c r="C385" s="4"/>
      <c r="D385" s="11"/>
      <c r="E385" s="2"/>
    </row>
    <row r="386" spans="1:5">
      <c r="A386" s="8" t="str">
        <f t="shared" ca="1" si="6"/>
        <v/>
      </c>
      <c r="B386" s="12"/>
      <c r="C386" s="4"/>
      <c r="D386" s="11"/>
      <c r="E386" s="2"/>
    </row>
    <row r="387" spans="1:5">
      <c r="A387" s="8" t="str">
        <f t="shared" ca="1" si="6"/>
        <v/>
      </c>
      <c r="B387" s="12"/>
      <c r="C387" s="4"/>
      <c r="D387" s="11"/>
      <c r="E387" s="2"/>
    </row>
    <row r="388" spans="1:5">
      <c r="A388" s="8" t="str">
        <f t="shared" ca="1" si="6"/>
        <v/>
      </c>
      <c r="B388" s="12"/>
      <c r="C388" s="4"/>
      <c r="D388" s="11"/>
      <c r="E388" s="2"/>
    </row>
    <row r="389" spans="1:5">
      <c r="A389" s="8" t="str">
        <f t="shared" ca="1" si="6"/>
        <v/>
      </c>
      <c r="B389" s="12"/>
      <c r="C389" s="4"/>
      <c r="D389" s="11"/>
      <c r="E389" s="2"/>
    </row>
    <row r="390" spans="1:5">
      <c r="A390" s="8" t="str">
        <f t="shared" ca="1" si="6"/>
        <v/>
      </c>
      <c r="B390" s="12"/>
      <c r="C390" s="4"/>
      <c r="D390" s="11"/>
      <c r="E390" s="2"/>
    </row>
    <row r="391" spans="1:5">
      <c r="A391" s="8" t="str">
        <f t="shared" ca="1" si="6"/>
        <v/>
      </c>
      <c r="B391" s="12"/>
      <c r="C391" s="4"/>
      <c r="D391" s="11"/>
      <c r="E391" s="2"/>
    </row>
    <row r="392" spans="1:5">
      <c r="A392" s="8" t="str">
        <f t="shared" ca="1" si="6"/>
        <v/>
      </c>
      <c r="B392" s="12"/>
      <c r="C392" s="4"/>
      <c r="D392" s="11"/>
      <c r="E392" s="2"/>
    </row>
    <row r="393" spans="1:5">
      <c r="A393" s="8" t="str">
        <f t="shared" ca="1" si="6"/>
        <v/>
      </c>
      <c r="B393" s="12"/>
      <c r="C393" s="4"/>
      <c r="D393" s="11"/>
      <c r="E393" s="2"/>
    </row>
    <row r="394" spans="1:5">
      <c r="A394" s="8" t="str">
        <f t="shared" ref="A394:A457" ca="1" si="7">IF(B394="","",IF(A394="",TODAY(),A394))</f>
        <v/>
      </c>
      <c r="B394" s="12"/>
      <c r="C394" s="4"/>
      <c r="D394" s="11"/>
      <c r="E394" s="2"/>
    </row>
    <row r="395" spans="1:5">
      <c r="A395" s="8" t="str">
        <f t="shared" ca="1" si="7"/>
        <v/>
      </c>
      <c r="B395" s="12"/>
      <c r="C395" s="4"/>
      <c r="D395" s="11"/>
      <c r="E395" s="2"/>
    </row>
    <row r="396" spans="1:5">
      <c r="A396" s="8" t="str">
        <f t="shared" ca="1" si="7"/>
        <v/>
      </c>
      <c r="B396" s="12"/>
      <c r="C396" s="4"/>
      <c r="D396" s="11"/>
      <c r="E396" s="2"/>
    </row>
    <row r="397" spans="1:5">
      <c r="A397" s="8" t="str">
        <f t="shared" ca="1" si="7"/>
        <v/>
      </c>
      <c r="B397" s="12"/>
      <c r="C397" s="4"/>
      <c r="D397" s="11"/>
      <c r="E397" s="2"/>
    </row>
    <row r="398" spans="1:5">
      <c r="A398" s="8" t="str">
        <f t="shared" ca="1" si="7"/>
        <v/>
      </c>
      <c r="B398" s="12"/>
      <c r="C398" s="4"/>
      <c r="D398" s="11"/>
      <c r="E398" s="2"/>
    </row>
    <row r="399" spans="1:5">
      <c r="A399" s="8" t="str">
        <f t="shared" ca="1" si="7"/>
        <v/>
      </c>
      <c r="B399" s="12"/>
      <c r="C399" s="4"/>
      <c r="D399" s="11"/>
      <c r="E399" s="2"/>
    </row>
    <row r="400" spans="1:5">
      <c r="A400" s="8" t="str">
        <f t="shared" ca="1" si="7"/>
        <v/>
      </c>
      <c r="B400" s="12"/>
      <c r="C400" s="4"/>
      <c r="D400" s="11"/>
      <c r="E400" s="2"/>
    </row>
    <row r="401" spans="1:5">
      <c r="A401" s="8" t="str">
        <f t="shared" ca="1" si="7"/>
        <v/>
      </c>
      <c r="B401" s="12"/>
      <c r="C401" s="4"/>
      <c r="D401" s="11"/>
      <c r="E401" s="2"/>
    </row>
    <row r="402" spans="1:5">
      <c r="A402" s="8" t="str">
        <f t="shared" ca="1" si="7"/>
        <v/>
      </c>
      <c r="B402" s="12"/>
      <c r="C402" s="4"/>
      <c r="D402" s="11"/>
      <c r="E402" s="2"/>
    </row>
    <row r="403" spans="1:5">
      <c r="A403" s="8" t="str">
        <f t="shared" ca="1" si="7"/>
        <v/>
      </c>
      <c r="B403" s="12"/>
      <c r="C403" s="4"/>
      <c r="D403" s="11"/>
      <c r="E403" s="2"/>
    </row>
    <row r="404" spans="1:5">
      <c r="A404" s="8" t="str">
        <f t="shared" ca="1" si="7"/>
        <v/>
      </c>
      <c r="B404" s="12"/>
      <c r="C404" s="4"/>
      <c r="D404" s="11"/>
      <c r="E404" s="2"/>
    </row>
    <row r="405" spans="1:5">
      <c r="A405" s="8" t="str">
        <f t="shared" ca="1" si="7"/>
        <v/>
      </c>
      <c r="B405" s="12"/>
      <c r="C405" s="4"/>
      <c r="D405" s="11"/>
      <c r="E405" s="2"/>
    </row>
    <row r="406" spans="1:5">
      <c r="A406" s="8" t="str">
        <f t="shared" ca="1" si="7"/>
        <v/>
      </c>
      <c r="B406" s="12"/>
      <c r="C406" s="4"/>
      <c r="D406" s="11"/>
      <c r="E406" s="2"/>
    </row>
    <row r="407" spans="1:5">
      <c r="A407" s="8" t="str">
        <f t="shared" ca="1" si="7"/>
        <v/>
      </c>
      <c r="B407" s="12"/>
      <c r="C407" s="4"/>
      <c r="D407" s="11"/>
      <c r="E407" s="2"/>
    </row>
    <row r="408" spans="1:5">
      <c r="A408" s="8" t="str">
        <f t="shared" ca="1" si="7"/>
        <v/>
      </c>
      <c r="B408" s="12"/>
      <c r="C408" s="4"/>
      <c r="D408" s="11"/>
      <c r="E408" s="2"/>
    </row>
    <row r="409" spans="1:5">
      <c r="A409" s="8" t="str">
        <f t="shared" ca="1" si="7"/>
        <v/>
      </c>
      <c r="B409" s="12"/>
      <c r="C409" s="4"/>
      <c r="D409" s="11"/>
      <c r="E409" s="2"/>
    </row>
    <row r="410" spans="1:5">
      <c r="A410" s="8" t="str">
        <f t="shared" ca="1" si="7"/>
        <v/>
      </c>
      <c r="B410" s="12"/>
      <c r="C410" s="4"/>
      <c r="D410" s="11"/>
      <c r="E410" s="2"/>
    </row>
    <row r="411" spans="1:5">
      <c r="A411" s="8" t="str">
        <f t="shared" ca="1" si="7"/>
        <v/>
      </c>
      <c r="B411" s="12"/>
      <c r="C411" s="4"/>
      <c r="D411" s="11"/>
      <c r="E411" s="2"/>
    </row>
    <row r="412" spans="1:5">
      <c r="A412" s="8" t="str">
        <f t="shared" ca="1" si="7"/>
        <v/>
      </c>
      <c r="B412" s="12"/>
      <c r="C412" s="4"/>
      <c r="D412" s="11"/>
      <c r="E412" s="2"/>
    </row>
    <row r="413" spans="1:5">
      <c r="A413" s="8" t="str">
        <f t="shared" ca="1" si="7"/>
        <v/>
      </c>
      <c r="B413" s="12"/>
      <c r="C413" s="4"/>
      <c r="D413" s="11"/>
      <c r="E413" s="2"/>
    </row>
    <row r="414" spans="1:5">
      <c r="A414" s="8" t="str">
        <f t="shared" ca="1" si="7"/>
        <v/>
      </c>
      <c r="B414" s="12"/>
      <c r="C414" s="4"/>
      <c r="D414" s="11"/>
      <c r="E414" s="2"/>
    </row>
    <row r="415" spans="1:5">
      <c r="A415" s="8" t="str">
        <f t="shared" ca="1" si="7"/>
        <v/>
      </c>
      <c r="B415" s="12"/>
      <c r="C415" s="4"/>
      <c r="D415" s="11"/>
      <c r="E415" s="2"/>
    </row>
    <row r="416" spans="1:5">
      <c r="A416" s="8" t="str">
        <f t="shared" ca="1" si="7"/>
        <v/>
      </c>
      <c r="B416" s="12"/>
      <c r="C416" s="4"/>
      <c r="D416" s="11"/>
      <c r="E416" s="2"/>
    </row>
    <row r="417" spans="1:5">
      <c r="A417" s="8" t="str">
        <f t="shared" ca="1" si="7"/>
        <v/>
      </c>
      <c r="B417" s="12"/>
      <c r="C417" s="4"/>
      <c r="D417" s="11"/>
      <c r="E417" s="2"/>
    </row>
    <row r="418" spans="1:5">
      <c r="A418" s="8" t="str">
        <f t="shared" ca="1" si="7"/>
        <v/>
      </c>
      <c r="B418" s="12"/>
      <c r="C418" s="4"/>
      <c r="D418" s="11"/>
      <c r="E418" s="2"/>
    </row>
    <row r="419" spans="1:5">
      <c r="A419" s="8" t="str">
        <f t="shared" ca="1" si="7"/>
        <v/>
      </c>
      <c r="B419" s="12"/>
      <c r="C419" s="4"/>
      <c r="D419" s="11"/>
      <c r="E419" s="2"/>
    </row>
    <row r="420" spans="1:5">
      <c r="A420" s="8" t="str">
        <f t="shared" ca="1" si="7"/>
        <v/>
      </c>
      <c r="B420" s="12"/>
      <c r="C420" s="4"/>
      <c r="D420" s="11"/>
      <c r="E420" s="2"/>
    </row>
    <row r="421" spans="1:5">
      <c r="A421" s="8" t="str">
        <f t="shared" ca="1" si="7"/>
        <v/>
      </c>
      <c r="B421" s="12"/>
      <c r="C421" s="4"/>
      <c r="D421" s="11"/>
      <c r="E421" s="2"/>
    </row>
    <row r="422" spans="1:5">
      <c r="A422" s="8" t="str">
        <f t="shared" ca="1" si="7"/>
        <v/>
      </c>
      <c r="B422" s="12"/>
      <c r="C422" s="4"/>
      <c r="D422" s="11"/>
      <c r="E422" s="2"/>
    </row>
    <row r="423" spans="1:5">
      <c r="A423" s="8" t="str">
        <f t="shared" ca="1" si="7"/>
        <v/>
      </c>
      <c r="B423" s="12"/>
      <c r="C423" s="4"/>
      <c r="D423" s="11"/>
      <c r="E423" s="2"/>
    </row>
    <row r="424" spans="1:5">
      <c r="A424" s="8" t="str">
        <f t="shared" ca="1" si="7"/>
        <v/>
      </c>
      <c r="B424" s="12"/>
      <c r="C424" s="4"/>
      <c r="D424" s="11"/>
      <c r="E424" s="2"/>
    </row>
    <row r="425" spans="1:5">
      <c r="A425" s="8" t="str">
        <f t="shared" ca="1" si="7"/>
        <v/>
      </c>
      <c r="B425" s="12"/>
      <c r="C425" s="4"/>
      <c r="D425" s="11"/>
      <c r="E425" s="2"/>
    </row>
    <row r="426" spans="1:5">
      <c r="A426" s="8" t="str">
        <f t="shared" ca="1" si="7"/>
        <v/>
      </c>
      <c r="B426" s="12"/>
      <c r="C426" s="4"/>
      <c r="D426" s="11"/>
      <c r="E426" s="2"/>
    </row>
    <row r="427" spans="1:5">
      <c r="A427" s="8" t="str">
        <f t="shared" ca="1" si="7"/>
        <v/>
      </c>
      <c r="B427" s="12"/>
      <c r="C427" s="4"/>
      <c r="D427" s="11"/>
      <c r="E427" s="2"/>
    </row>
    <row r="428" spans="1:5">
      <c r="A428" s="8" t="str">
        <f t="shared" ca="1" si="7"/>
        <v/>
      </c>
      <c r="B428" s="12"/>
      <c r="C428" s="4"/>
      <c r="D428" s="11"/>
      <c r="E428" s="2"/>
    </row>
    <row r="429" spans="1:5">
      <c r="A429" s="8" t="str">
        <f t="shared" ca="1" si="7"/>
        <v/>
      </c>
      <c r="B429" s="12"/>
      <c r="C429" s="4"/>
      <c r="D429" s="11"/>
      <c r="E429" s="2"/>
    </row>
    <row r="430" spans="1:5">
      <c r="A430" s="8" t="str">
        <f t="shared" ca="1" si="7"/>
        <v/>
      </c>
      <c r="B430" s="12"/>
      <c r="C430" s="4"/>
      <c r="D430" s="11"/>
      <c r="E430" s="2"/>
    </row>
    <row r="431" spans="1:5">
      <c r="A431" s="8" t="str">
        <f t="shared" ca="1" si="7"/>
        <v/>
      </c>
      <c r="B431" s="12"/>
      <c r="C431" s="4"/>
      <c r="D431" s="11"/>
      <c r="E431" s="2"/>
    </row>
    <row r="432" spans="1:5">
      <c r="A432" s="8" t="str">
        <f t="shared" ca="1" si="7"/>
        <v/>
      </c>
      <c r="B432" s="12"/>
      <c r="C432" s="4"/>
      <c r="D432" s="11"/>
      <c r="E432" s="2"/>
    </row>
    <row r="433" spans="1:5">
      <c r="A433" s="8" t="str">
        <f t="shared" ca="1" si="7"/>
        <v/>
      </c>
      <c r="B433" s="12"/>
      <c r="C433" s="4"/>
      <c r="D433" s="11"/>
      <c r="E433" s="2"/>
    </row>
    <row r="434" spans="1:5">
      <c r="A434" s="8" t="str">
        <f t="shared" ca="1" si="7"/>
        <v/>
      </c>
      <c r="B434" s="12"/>
      <c r="C434" s="4"/>
      <c r="D434" s="11"/>
      <c r="E434" s="2"/>
    </row>
    <row r="435" spans="1:5">
      <c r="A435" s="8" t="str">
        <f t="shared" ca="1" si="7"/>
        <v/>
      </c>
      <c r="B435" s="12"/>
      <c r="C435" s="4"/>
      <c r="D435" s="11"/>
      <c r="E435" s="2"/>
    </row>
    <row r="436" spans="1:5">
      <c r="A436" s="8" t="str">
        <f t="shared" ca="1" si="7"/>
        <v/>
      </c>
      <c r="B436" s="12"/>
      <c r="C436" s="4"/>
      <c r="D436" s="11"/>
      <c r="E436" s="2"/>
    </row>
    <row r="437" spans="1:5">
      <c r="A437" s="8" t="str">
        <f t="shared" ca="1" si="7"/>
        <v/>
      </c>
      <c r="B437" s="12"/>
      <c r="C437" s="4"/>
      <c r="D437" s="11"/>
      <c r="E437" s="2"/>
    </row>
    <row r="438" spans="1:5">
      <c r="A438" s="8" t="str">
        <f t="shared" ca="1" si="7"/>
        <v/>
      </c>
      <c r="B438" s="12"/>
      <c r="C438" s="4"/>
      <c r="D438" s="11"/>
      <c r="E438" s="2"/>
    </row>
    <row r="439" spans="1:5">
      <c r="A439" s="8" t="str">
        <f t="shared" ca="1" si="7"/>
        <v/>
      </c>
      <c r="B439" s="12"/>
      <c r="C439" s="4"/>
      <c r="D439" s="11"/>
      <c r="E439" s="2"/>
    </row>
    <row r="440" spans="1:5">
      <c r="A440" s="8" t="str">
        <f t="shared" ca="1" si="7"/>
        <v/>
      </c>
      <c r="B440" s="12"/>
      <c r="C440" s="4"/>
      <c r="D440" s="11"/>
      <c r="E440" s="2"/>
    </row>
    <row r="441" spans="1:5">
      <c r="A441" s="8" t="str">
        <f t="shared" ca="1" si="7"/>
        <v/>
      </c>
      <c r="B441" s="12"/>
      <c r="C441" s="4"/>
      <c r="D441" s="11"/>
      <c r="E441" s="2"/>
    </row>
    <row r="442" spans="1:5">
      <c r="A442" s="8" t="str">
        <f t="shared" ca="1" si="7"/>
        <v/>
      </c>
      <c r="B442" s="12"/>
      <c r="C442" s="4"/>
      <c r="D442" s="11"/>
      <c r="E442" s="2"/>
    </row>
    <row r="443" spans="1:5">
      <c r="A443" s="8" t="str">
        <f t="shared" ca="1" si="7"/>
        <v/>
      </c>
      <c r="B443" s="12"/>
      <c r="C443" s="4"/>
      <c r="D443" s="11"/>
      <c r="E443" s="2"/>
    </row>
    <row r="444" spans="1:5">
      <c r="A444" s="8" t="str">
        <f t="shared" ca="1" si="7"/>
        <v/>
      </c>
      <c r="B444" s="12"/>
      <c r="C444" s="4"/>
      <c r="D444" s="11"/>
      <c r="E444" s="2"/>
    </row>
    <row r="445" spans="1:5">
      <c r="A445" s="8" t="str">
        <f t="shared" ca="1" si="7"/>
        <v/>
      </c>
      <c r="B445" s="12"/>
      <c r="C445" s="4"/>
      <c r="D445" s="11"/>
      <c r="E445" s="2"/>
    </row>
    <row r="446" spans="1:5">
      <c r="A446" s="8" t="str">
        <f t="shared" ca="1" si="7"/>
        <v/>
      </c>
      <c r="B446" s="12"/>
      <c r="C446" s="4"/>
      <c r="D446" s="11"/>
      <c r="E446" s="2"/>
    </row>
    <row r="447" spans="1:5">
      <c r="A447" s="8" t="str">
        <f t="shared" ca="1" si="7"/>
        <v/>
      </c>
      <c r="B447" s="12"/>
      <c r="C447" s="4"/>
      <c r="D447" s="11"/>
      <c r="E447" s="2"/>
    </row>
    <row r="448" spans="1:5">
      <c r="A448" s="8" t="str">
        <f t="shared" ca="1" si="7"/>
        <v/>
      </c>
      <c r="B448" s="12"/>
      <c r="C448" s="4"/>
      <c r="D448" s="11"/>
      <c r="E448" s="2"/>
    </row>
    <row r="449" spans="1:5">
      <c r="A449" s="8" t="str">
        <f t="shared" ca="1" si="7"/>
        <v/>
      </c>
      <c r="B449" s="12"/>
      <c r="C449" s="4"/>
      <c r="D449" s="11"/>
      <c r="E449" s="2"/>
    </row>
    <row r="450" spans="1:5">
      <c r="A450" s="8" t="str">
        <f t="shared" ca="1" si="7"/>
        <v/>
      </c>
      <c r="B450" s="12"/>
      <c r="C450" s="4"/>
      <c r="D450" s="11"/>
      <c r="E450" s="2"/>
    </row>
    <row r="451" spans="1:5">
      <c r="A451" s="8" t="str">
        <f t="shared" ca="1" si="7"/>
        <v/>
      </c>
      <c r="B451" s="12"/>
      <c r="C451" s="4"/>
      <c r="D451" s="11"/>
      <c r="E451" s="2"/>
    </row>
    <row r="452" spans="1:5">
      <c r="A452" s="8" t="str">
        <f t="shared" ca="1" si="7"/>
        <v/>
      </c>
      <c r="B452" s="12"/>
      <c r="C452" s="4"/>
      <c r="D452" s="11"/>
      <c r="E452" s="2"/>
    </row>
    <row r="453" spans="1:5">
      <c r="A453" s="8" t="str">
        <f t="shared" ca="1" si="7"/>
        <v/>
      </c>
      <c r="B453" s="12"/>
      <c r="C453" s="4"/>
      <c r="D453" s="11"/>
      <c r="E453" s="2"/>
    </row>
    <row r="454" spans="1:5">
      <c r="A454" s="8" t="str">
        <f t="shared" ca="1" si="7"/>
        <v/>
      </c>
      <c r="B454" s="12"/>
      <c r="C454" s="4"/>
      <c r="D454" s="11"/>
      <c r="E454" s="2"/>
    </row>
    <row r="455" spans="1:5">
      <c r="A455" s="8" t="str">
        <f t="shared" ca="1" si="7"/>
        <v/>
      </c>
      <c r="B455" s="12"/>
      <c r="C455" s="4"/>
      <c r="D455" s="11"/>
      <c r="E455" s="2"/>
    </row>
    <row r="456" spans="1:5">
      <c r="A456" s="8" t="str">
        <f t="shared" ca="1" si="7"/>
        <v/>
      </c>
      <c r="B456" s="12"/>
      <c r="C456" s="4"/>
      <c r="D456" s="11"/>
      <c r="E456" s="2"/>
    </row>
    <row r="457" spans="1:5">
      <c r="A457" s="8" t="str">
        <f t="shared" ca="1" si="7"/>
        <v/>
      </c>
      <c r="B457" s="12"/>
      <c r="C457" s="4"/>
      <c r="D457" s="11"/>
      <c r="E457" s="2"/>
    </row>
    <row r="458" spans="1:5">
      <c r="A458" s="8" t="str">
        <f t="shared" ref="A458:A521" ca="1" si="8">IF(B458="","",IF(A458="",TODAY(),A458))</f>
        <v/>
      </c>
      <c r="B458" s="12"/>
      <c r="C458" s="4"/>
      <c r="D458" s="11"/>
      <c r="E458" s="2"/>
    </row>
    <row r="459" spans="1:5">
      <c r="A459" s="8" t="str">
        <f t="shared" ca="1" si="8"/>
        <v/>
      </c>
      <c r="B459" s="12"/>
      <c r="C459" s="4"/>
      <c r="D459" s="11"/>
      <c r="E459" s="2"/>
    </row>
    <row r="460" spans="1:5">
      <c r="A460" s="8" t="str">
        <f t="shared" ca="1" si="8"/>
        <v/>
      </c>
      <c r="B460" s="12"/>
      <c r="C460" s="4"/>
      <c r="D460" s="11"/>
      <c r="E460" s="2"/>
    </row>
    <row r="461" spans="1:5">
      <c r="A461" s="8" t="str">
        <f t="shared" ca="1" si="8"/>
        <v/>
      </c>
      <c r="B461" s="12"/>
      <c r="C461" s="4"/>
      <c r="D461" s="11"/>
      <c r="E461" s="2"/>
    </row>
    <row r="462" spans="1:5">
      <c r="A462" s="8" t="str">
        <f t="shared" ca="1" si="8"/>
        <v/>
      </c>
      <c r="B462" s="12"/>
      <c r="C462" s="4"/>
      <c r="D462" s="11"/>
      <c r="E462" s="2"/>
    </row>
    <row r="463" spans="1:5">
      <c r="A463" s="8" t="str">
        <f t="shared" ca="1" si="8"/>
        <v/>
      </c>
      <c r="B463" s="12"/>
      <c r="C463" s="4"/>
      <c r="D463" s="11"/>
      <c r="E463" s="2"/>
    </row>
    <row r="464" spans="1:5">
      <c r="A464" s="8" t="str">
        <f t="shared" ca="1" si="8"/>
        <v/>
      </c>
      <c r="B464" s="12"/>
      <c r="C464" s="4"/>
      <c r="D464" s="11"/>
      <c r="E464" s="2"/>
    </row>
    <row r="465" spans="1:5">
      <c r="A465" s="8" t="str">
        <f t="shared" ca="1" si="8"/>
        <v/>
      </c>
      <c r="B465" s="12"/>
      <c r="C465" s="4"/>
      <c r="D465" s="11"/>
      <c r="E465" s="2"/>
    </row>
    <row r="466" spans="1:5">
      <c r="A466" s="8" t="str">
        <f t="shared" ca="1" si="8"/>
        <v/>
      </c>
      <c r="B466" s="12"/>
      <c r="C466" s="4"/>
      <c r="D466" s="11"/>
      <c r="E466" s="2"/>
    </row>
    <row r="467" spans="1:5">
      <c r="A467" s="8" t="str">
        <f t="shared" ca="1" si="8"/>
        <v/>
      </c>
      <c r="B467" s="12"/>
      <c r="C467" s="4"/>
      <c r="D467" s="11"/>
      <c r="E467" s="2"/>
    </row>
    <row r="468" spans="1:5">
      <c r="A468" s="8" t="str">
        <f t="shared" ca="1" si="8"/>
        <v/>
      </c>
      <c r="B468" s="12"/>
      <c r="C468" s="4"/>
      <c r="D468" s="11"/>
      <c r="E468" s="2"/>
    </row>
    <row r="469" spans="1:5">
      <c r="A469" s="8" t="str">
        <f t="shared" ca="1" si="8"/>
        <v/>
      </c>
      <c r="B469" s="12"/>
      <c r="C469" s="4"/>
      <c r="D469" s="11"/>
      <c r="E469" s="2"/>
    </row>
    <row r="470" spans="1:5">
      <c r="A470" s="8" t="str">
        <f t="shared" ca="1" si="8"/>
        <v/>
      </c>
      <c r="B470" s="12"/>
      <c r="C470" s="4"/>
      <c r="D470" s="11"/>
      <c r="E470" s="2"/>
    </row>
    <row r="471" spans="1:5">
      <c r="A471" s="8" t="str">
        <f t="shared" ca="1" si="8"/>
        <v/>
      </c>
      <c r="B471" s="12"/>
      <c r="C471" s="4"/>
      <c r="D471" s="11"/>
      <c r="E471" s="2"/>
    </row>
    <row r="472" spans="1:5">
      <c r="A472" s="8" t="str">
        <f t="shared" ca="1" si="8"/>
        <v/>
      </c>
      <c r="B472" s="12"/>
      <c r="C472" s="4"/>
      <c r="D472" s="11"/>
      <c r="E472" s="2"/>
    </row>
    <row r="473" spans="1:5">
      <c r="A473" s="8" t="str">
        <f t="shared" ca="1" si="8"/>
        <v/>
      </c>
      <c r="B473" s="12"/>
      <c r="C473" s="4"/>
      <c r="D473" s="11"/>
      <c r="E473" s="2"/>
    </row>
    <row r="474" spans="1:5">
      <c r="A474" s="8" t="str">
        <f t="shared" ca="1" si="8"/>
        <v/>
      </c>
      <c r="B474" s="12"/>
      <c r="C474" s="4"/>
      <c r="D474" s="11"/>
      <c r="E474" s="2"/>
    </row>
    <row r="475" spans="1:5">
      <c r="A475" s="8" t="str">
        <f t="shared" ca="1" si="8"/>
        <v/>
      </c>
      <c r="B475" s="12"/>
      <c r="C475" s="4"/>
      <c r="D475" s="11"/>
      <c r="E475" s="2"/>
    </row>
    <row r="476" spans="1:5">
      <c r="A476" s="8" t="str">
        <f t="shared" ca="1" si="8"/>
        <v/>
      </c>
      <c r="B476" s="12"/>
      <c r="C476" s="4"/>
      <c r="D476" s="11"/>
      <c r="E476" s="2"/>
    </row>
    <row r="477" spans="1:5">
      <c r="A477" s="8" t="str">
        <f t="shared" ca="1" si="8"/>
        <v/>
      </c>
      <c r="B477" s="12"/>
      <c r="C477" s="4"/>
      <c r="D477" s="11"/>
      <c r="E477" s="2"/>
    </row>
    <row r="478" spans="1:5">
      <c r="A478" s="8" t="str">
        <f t="shared" ca="1" si="8"/>
        <v/>
      </c>
      <c r="B478" s="12"/>
      <c r="C478" s="4"/>
      <c r="D478" s="11"/>
      <c r="E478" s="2"/>
    </row>
    <row r="479" spans="1:5">
      <c r="A479" s="8" t="str">
        <f t="shared" ca="1" si="8"/>
        <v/>
      </c>
      <c r="B479" s="12"/>
      <c r="C479" s="4"/>
      <c r="D479" s="11"/>
      <c r="E479" s="2"/>
    </row>
    <row r="480" spans="1:5">
      <c r="A480" s="8" t="str">
        <f t="shared" ca="1" si="8"/>
        <v/>
      </c>
      <c r="B480" s="12"/>
      <c r="C480" s="4"/>
      <c r="D480" s="11"/>
      <c r="E480" s="2"/>
    </row>
    <row r="481" spans="1:5">
      <c r="A481" s="8" t="str">
        <f t="shared" ca="1" si="8"/>
        <v/>
      </c>
      <c r="B481" s="12"/>
      <c r="C481" s="4"/>
      <c r="D481" s="11"/>
      <c r="E481" s="2"/>
    </row>
    <row r="482" spans="1:5">
      <c r="A482" s="8" t="str">
        <f t="shared" ca="1" si="8"/>
        <v/>
      </c>
      <c r="B482" s="12"/>
      <c r="C482" s="4"/>
      <c r="D482" s="11"/>
      <c r="E482" s="2"/>
    </row>
    <row r="483" spans="1:5">
      <c r="A483" s="8" t="str">
        <f t="shared" ca="1" si="8"/>
        <v/>
      </c>
      <c r="B483" s="12"/>
      <c r="C483" s="4"/>
      <c r="D483" s="11"/>
      <c r="E483" s="2"/>
    </row>
    <row r="484" spans="1:5">
      <c r="A484" s="8" t="str">
        <f t="shared" ca="1" si="8"/>
        <v/>
      </c>
      <c r="B484" s="12"/>
      <c r="C484" s="4"/>
      <c r="D484" s="11"/>
      <c r="E484" s="2"/>
    </row>
    <row r="485" spans="1:5">
      <c r="A485" s="8" t="str">
        <f t="shared" ca="1" si="8"/>
        <v/>
      </c>
      <c r="B485" s="12"/>
      <c r="C485" s="4"/>
      <c r="D485" s="11"/>
      <c r="E485" s="2"/>
    </row>
    <row r="486" spans="1:5">
      <c r="A486" s="8" t="str">
        <f t="shared" ca="1" si="8"/>
        <v/>
      </c>
      <c r="B486" s="12"/>
      <c r="C486" s="4"/>
      <c r="D486" s="11"/>
      <c r="E486" s="2"/>
    </row>
    <row r="487" spans="1:5">
      <c r="A487" s="8" t="str">
        <f t="shared" ca="1" si="8"/>
        <v/>
      </c>
      <c r="B487" s="12"/>
      <c r="C487" s="4"/>
      <c r="D487" s="11"/>
      <c r="E487" s="2"/>
    </row>
    <row r="488" spans="1:5">
      <c r="A488" s="8" t="str">
        <f t="shared" ca="1" si="8"/>
        <v/>
      </c>
      <c r="B488" s="12"/>
      <c r="C488" s="4"/>
      <c r="D488" s="11"/>
      <c r="E488" s="2"/>
    </row>
    <row r="489" spans="1:5">
      <c r="A489" s="8" t="str">
        <f t="shared" ca="1" si="8"/>
        <v/>
      </c>
      <c r="B489" s="12"/>
      <c r="C489" s="4"/>
      <c r="D489" s="11"/>
      <c r="E489" s="2"/>
    </row>
    <row r="490" spans="1:5">
      <c r="A490" s="8" t="str">
        <f t="shared" ca="1" si="8"/>
        <v/>
      </c>
      <c r="B490" s="12"/>
      <c r="C490" s="4"/>
      <c r="D490" s="11"/>
      <c r="E490" s="2"/>
    </row>
    <row r="491" spans="1:5">
      <c r="A491" s="8" t="str">
        <f t="shared" ca="1" si="8"/>
        <v/>
      </c>
      <c r="B491" s="12"/>
      <c r="C491" s="4"/>
      <c r="D491" s="11"/>
      <c r="E491" s="2"/>
    </row>
    <row r="492" spans="1:5">
      <c r="A492" s="8" t="str">
        <f t="shared" ca="1" si="8"/>
        <v/>
      </c>
      <c r="B492" s="12"/>
      <c r="C492" s="4"/>
      <c r="D492" s="11"/>
      <c r="E492" s="2"/>
    </row>
    <row r="493" spans="1:5">
      <c r="A493" s="8" t="str">
        <f t="shared" ca="1" si="8"/>
        <v/>
      </c>
      <c r="B493" s="12"/>
      <c r="C493" s="4"/>
      <c r="D493" s="11"/>
      <c r="E493" s="2"/>
    </row>
    <row r="494" spans="1:5">
      <c r="A494" s="8" t="str">
        <f t="shared" ca="1" si="8"/>
        <v/>
      </c>
      <c r="B494" s="12"/>
      <c r="C494" s="4"/>
      <c r="D494" s="11"/>
      <c r="E494" s="2"/>
    </row>
    <row r="495" spans="1:5">
      <c r="A495" s="8" t="str">
        <f t="shared" ca="1" si="8"/>
        <v/>
      </c>
      <c r="B495" s="12"/>
      <c r="C495" s="4"/>
      <c r="D495" s="11"/>
      <c r="E495" s="2"/>
    </row>
    <row r="496" spans="1:5">
      <c r="A496" s="8" t="str">
        <f t="shared" ca="1" si="8"/>
        <v/>
      </c>
      <c r="B496" s="12"/>
      <c r="C496" s="4"/>
      <c r="D496" s="11"/>
      <c r="E496" s="2"/>
    </row>
    <row r="497" spans="1:5">
      <c r="A497" s="8" t="str">
        <f t="shared" ca="1" si="8"/>
        <v/>
      </c>
      <c r="B497" s="12"/>
      <c r="C497" s="4"/>
      <c r="D497" s="11"/>
      <c r="E497" s="2"/>
    </row>
    <row r="498" spans="1:5">
      <c r="A498" s="8" t="str">
        <f t="shared" ca="1" si="8"/>
        <v/>
      </c>
      <c r="B498" s="12"/>
      <c r="C498" s="4"/>
      <c r="D498" s="11"/>
      <c r="E498" s="2"/>
    </row>
    <row r="499" spans="1:5">
      <c r="A499" s="8" t="str">
        <f t="shared" ca="1" si="8"/>
        <v/>
      </c>
      <c r="B499" s="12"/>
      <c r="C499" s="4"/>
      <c r="D499" s="11"/>
      <c r="E499" s="2"/>
    </row>
    <row r="500" spans="1:5">
      <c r="A500" s="8" t="str">
        <f t="shared" ca="1" si="8"/>
        <v/>
      </c>
      <c r="B500" s="12"/>
      <c r="C500" s="4"/>
      <c r="D500" s="11"/>
      <c r="E500" s="2"/>
    </row>
    <row r="501" spans="1:5">
      <c r="A501" s="8" t="str">
        <f t="shared" ca="1" si="8"/>
        <v/>
      </c>
      <c r="B501" s="12"/>
      <c r="C501" s="4"/>
      <c r="D501" s="11"/>
      <c r="E501" s="2"/>
    </row>
    <row r="502" spans="1:5">
      <c r="A502" s="8" t="str">
        <f t="shared" ca="1" si="8"/>
        <v/>
      </c>
      <c r="B502" s="12"/>
      <c r="C502" s="4"/>
      <c r="D502" s="11"/>
      <c r="E502" s="2"/>
    </row>
    <row r="503" spans="1:5">
      <c r="A503" s="8" t="str">
        <f t="shared" ca="1" si="8"/>
        <v/>
      </c>
      <c r="B503" s="12"/>
      <c r="C503" s="4"/>
      <c r="D503" s="11"/>
      <c r="E503" s="2"/>
    </row>
    <row r="504" spans="1:5">
      <c r="A504" s="8" t="str">
        <f t="shared" ca="1" si="8"/>
        <v/>
      </c>
      <c r="B504" s="12"/>
      <c r="C504" s="4"/>
      <c r="D504" s="11"/>
      <c r="E504" s="2"/>
    </row>
    <row r="505" spans="1:5">
      <c r="A505" s="8" t="str">
        <f t="shared" ca="1" si="8"/>
        <v/>
      </c>
      <c r="B505" s="12"/>
      <c r="C505" s="4"/>
      <c r="D505" s="11"/>
      <c r="E505" s="2"/>
    </row>
    <row r="506" spans="1:5">
      <c r="A506" s="8" t="str">
        <f t="shared" ca="1" si="8"/>
        <v/>
      </c>
      <c r="B506" s="12"/>
      <c r="C506" s="4"/>
      <c r="D506" s="11"/>
      <c r="E506" s="2"/>
    </row>
    <row r="507" spans="1:5">
      <c r="A507" s="8" t="str">
        <f t="shared" ca="1" si="8"/>
        <v/>
      </c>
      <c r="B507" s="12"/>
      <c r="C507" s="4"/>
      <c r="D507" s="11"/>
      <c r="E507" s="2"/>
    </row>
    <row r="508" spans="1:5">
      <c r="A508" s="8" t="str">
        <f t="shared" ca="1" si="8"/>
        <v/>
      </c>
      <c r="B508" s="12"/>
      <c r="C508" s="4"/>
      <c r="D508" s="11"/>
      <c r="E508" s="2"/>
    </row>
    <row r="509" spans="1:5">
      <c r="A509" s="8" t="str">
        <f t="shared" ca="1" si="8"/>
        <v/>
      </c>
      <c r="B509" s="12"/>
      <c r="C509" s="4"/>
      <c r="D509" s="11"/>
      <c r="E509" s="2"/>
    </row>
    <row r="510" spans="1:5">
      <c r="A510" s="8" t="str">
        <f t="shared" ca="1" si="8"/>
        <v/>
      </c>
      <c r="B510" s="12"/>
      <c r="C510" s="4"/>
      <c r="D510" s="11"/>
      <c r="E510" s="2"/>
    </row>
    <row r="511" spans="1:5">
      <c r="A511" s="8" t="str">
        <f t="shared" ca="1" si="8"/>
        <v/>
      </c>
      <c r="B511" s="12"/>
      <c r="C511" s="4"/>
      <c r="D511" s="11"/>
      <c r="E511" s="2"/>
    </row>
    <row r="512" spans="1:5">
      <c r="A512" s="8" t="str">
        <f t="shared" ca="1" si="8"/>
        <v/>
      </c>
      <c r="B512" s="12"/>
      <c r="C512" s="4"/>
      <c r="D512" s="11"/>
      <c r="E512" s="2"/>
    </row>
    <row r="513" spans="1:5">
      <c r="A513" s="8" t="str">
        <f t="shared" ca="1" si="8"/>
        <v/>
      </c>
      <c r="B513" s="12"/>
      <c r="C513" s="4"/>
      <c r="D513" s="11"/>
      <c r="E513" s="2"/>
    </row>
    <row r="514" spans="1:5">
      <c r="A514" s="8" t="str">
        <f t="shared" ca="1" si="8"/>
        <v/>
      </c>
      <c r="B514" s="12"/>
      <c r="C514" s="4"/>
      <c r="D514" s="11"/>
      <c r="E514" s="2"/>
    </row>
    <row r="515" spans="1:5">
      <c r="A515" s="8" t="str">
        <f t="shared" ca="1" si="8"/>
        <v/>
      </c>
      <c r="B515" s="12"/>
      <c r="C515" s="4"/>
      <c r="D515" s="11"/>
      <c r="E515" s="2"/>
    </row>
    <row r="516" spans="1:5">
      <c r="A516" s="8" t="str">
        <f t="shared" ca="1" si="8"/>
        <v/>
      </c>
      <c r="B516" s="12"/>
      <c r="C516" s="4"/>
      <c r="D516" s="11"/>
      <c r="E516" s="2"/>
    </row>
    <row r="517" spans="1:5">
      <c r="A517" s="8" t="str">
        <f t="shared" ca="1" si="8"/>
        <v/>
      </c>
      <c r="B517" s="12"/>
      <c r="C517" s="4"/>
      <c r="D517" s="11"/>
      <c r="E517" s="2"/>
    </row>
    <row r="518" spans="1:5">
      <c r="A518" s="8" t="str">
        <f t="shared" ca="1" si="8"/>
        <v/>
      </c>
      <c r="B518" s="12"/>
      <c r="C518" s="4"/>
      <c r="D518" s="11"/>
      <c r="E518" s="2"/>
    </row>
    <row r="519" spans="1:5">
      <c r="A519" s="8" t="str">
        <f t="shared" ca="1" si="8"/>
        <v/>
      </c>
      <c r="B519" s="12"/>
      <c r="C519" s="4"/>
      <c r="D519" s="11"/>
      <c r="E519" s="2"/>
    </row>
    <row r="520" spans="1:5">
      <c r="A520" s="8" t="str">
        <f t="shared" ca="1" si="8"/>
        <v/>
      </c>
      <c r="B520" s="12"/>
      <c r="C520" s="4"/>
      <c r="D520" s="11"/>
      <c r="E520" s="2"/>
    </row>
    <row r="521" spans="1:5">
      <c r="A521" s="8" t="str">
        <f t="shared" ca="1" si="8"/>
        <v/>
      </c>
      <c r="B521" s="12"/>
      <c r="C521" s="4"/>
      <c r="D521" s="11"/>
      <c r="E521" s="2"/>
    </row>
    <row r="522" spans="1:5">
      <c r="A522" s="8" t="str">
        <f t="shared" ref="A522:A585" ca="1" si="9">IF(B522="","",IF(A522="",TODAY(),A522))</f>
        <v/>
      </c>
      <c r="B522" s="12"/>
      <c r="C522" s="4"/>
      <c r="D522" s="11"/>
      <c r="E522" s="2"/>
    </row>
    <row r="523" spans="1:5">
      <c r="A523" s="8" t="str">
        <f t="shared" ca="1" si="9"/>
        <v/>
      </c>
      <c r="B523" s="12"/>
      <c r="C523" s="4"/>
      <c r="D523" s="11"/>
      <c r="E523" s="2"/>
    </row>
    <row r="524" spans="1:5">
      <c r="A524" s="8" t="str">
        <f t="shared" ca="1" si="9"/>
        <v/>
      </c>
      <c r="B524" s="12"/>
      <c r="C524" s="4"/>
      <c r="D524" s="11"/>
      <c r="E524" s="2"/>
    </row>
    <row r="525" spans="1:5">
      <c r="A525" s="8" t="str">
        <f t="shared" ca="1" si="9"/>
        <v/>
      </c>
      <c r="B525" s="12"/>
      <c r="C525" s="4"/>
      <c r="D525" s="11"/>
      <c r="E525" s="2"/>
    </row>
    <row r="526" spans="1:5">
      <c r="A526" s="8" t="str">
        <f t="shared" ca="1" si="9"/>
        <v/>
      </c>
      <c r="B526" s="12"/>
      <c r="C526" s="4"/>
      <c r="D526" s="11"/>
      <c r="E526" s="2"/>
    </row>
    <row r="527" spans="1:5">
      <c r="A527" s="8" t="str">
        <f t="shared" ca="1" si="9"/>
        <v/>
      </c>
      <c r="B527" s="12"/>
      <c r="C527" s="4"/>
      <c r="D527" s="11"/>
      <c r="E527" s="2"/>
    </row>
    <row r="528" spans="1:5">
      <c r="A528" s="8" t="str">
        <f t="shared" ca="1" si="9"/>
        <v/>
      </c>
      <c r="B528" s="12"/>
      <c r="C528" s="4"/>
      <c r="D528" s="11"/>
      <c r="E528" s="2"/>
    </row>
    <row r="529" spans="1:5">
      <c r="A529" s="8" t="str">
        <f t="shared" ca="1" si="9"/>
        <v/>
      </c>
      <c r="B529" s="12"/>
      <c r="C529" s="4"/>
      <c r="D529" s="11"/>
      <c r="E529" s="2"/>
    </row>
    <row r="530" spans="1:5">
      <c r="A530" s="8" t="str">
        <f t="shared" ca="1" si="9"/>
        <v/>
      </c>
      <c r="B530" s="12"/>
      <c r="C530" s="4"/>
      <c r="D530" s="11"/>
      <c r="E530" s="2"/>
    </row>
    <row r="531" spans="1:5">
      <c r="A531" s="8" t="str">
        <f t="shared" ca="1" si="9"/>
        <v/>
      </c>
      <c r="B531" s="12"/>
      <c r="C531" s="4"/>
      <c r="D531" s="11"/>
      <c r="E531" s="2"/>
    </row>
    <row r="532" spans="1:5">
      <c r="A532" s="8" t="str">
        <f t="shared" ca="1" si="9"/>
        <v/>
      </c>
      <c r="B532" s="12"/>
      <c r="C532" s="4"/>
      <c r="D532" s="11"/>
      <c r="E532" s="2"/>
    </row>
    <row r="533" spans="1:5">
      <c r="A533" s="8" t="str">
        <f t="shared" ca="1" si="9"/>
        <v/>
      </c>
      <c r="B533" s="12"/>
      <c r="C533" s="4"/>
      <c r="D533" s="11"/>
      <c r="E533" s="2"/>
    </row>
    <row r="534" spans="1:5">
      <c r="A534" s="8" t="str">
        <f t="shared" ca="1" si="9"/>
        <v/>
      </c>
      <c r="B534" s="12"/>
      <c r="C534" s="4"/>
      <c r="D534" s="11"/>
      <c r="E534" s="2"/>
    </row>
    <row r="535" spans="1:5">
      <c r="A535" s="8" t="str">
        <f t="shared" ca="1" si="9"/>
        <v/>
      </c>
      <c r="B535" s="12"/>
      <c r="C535" s="4"/>
      <c r="D535" s="11"/>
      <c r="E535" s="2"/>
    </row>
    <row r="536" spans="1:5">
      <c r="A536" s="8" t="str">
        <f t="shared" ca="1" si="9"/>
        <v/>
      </c>
      <c r="B536" s="12"/>
      <c r="C536" s="4"/>
      <c r="D536" s="11"/>
      <c r="E536" s="2"/>
    </row>
    <row r="537" spans="1:5">
      <c r="A537" s="8" t="str">
        <f t="shared" ca="1" si="9"/>
        <v/>
      </c>
      <c r="B537" s="12"/>
      <c r="C537" s="4"/>
      <c r="D537" s="11"/>
      <c r="E537" s="2"/>
    </row>
    <row r="538" spans="1:5">
      <c r="A538" s="8" t="str">
        <f t="shared" ca="1" si="9"/>
        <v/>
      </c>
      <c r="B538" s="12"/>
      <c r="C538" s="4"/>
      <c r="D538" s="11"/>
      <c r="E538" s="2"/>
    </row>
    <row r="539" spans="1:5">
      <c r="A539" s="8" t="str">
        <f t="shared" ca="1" si="9"/>
        <v/>
      </c>
      <c r="B539" s="12"/>
      <c r="C539" s="4"/>
      <c r="D539" s="11"/>
      <c r="E539" s="2"/>
    </row>
    <row r="540" spans="1:5">
      <c r="A540" s="8" t="str">
        <f t="shared" ca="1" si="9"/>
        <v/>
      </c>
      <c r="B540" s="12"/>
      <c r="C540" s="4"/>
      <c r="D540" s="11"/>
      <c r="E540" s="2"/>
    </row>
    <row r="541" spans="1:5">
      <c r="A541" s="8" t="str">
        <f t="shared" ca="1" si="9"/>
        <v/>
      </c>
      <c r="B541" s="12"/>
      <c r="C541" s="4"/>
      <c r="D541" s="11"/>
      <c r="E541" s="2"/>
    </row>
    <row r="542" spans="1:5">
      <c r="A542" s="8" t="str">
        <f t="shared" ca="1" si="9"/>
        <v/>
      </c>
      <c r="B542" s="12"/>
      <c r="C542" s="4"/>
      <c r="D542" s="11"/>
      <c r="E542" s="2"/>
    </row>
    <row r="543" spans="1:5">
      <c r="A543" s="8" t="str">
        <f t="shared" ca="1" si="9"/>
        <v/>
      </c>
      <c r="B543" s="12"/>
      <c r="C543" s="4"/>
      <c r="D543" s="11"/>
      <c r="E543" s="2"/>
    </row>
    <row r="544" spans="1:5">
      <c r="A544" s="8" t="str">
        <f t="shared" ca="1" si="9"/>
        <v/>
      </c>
      <c r="B544" s="12"/>
      <c r="C544" s="4"/>
      <c r="D544" s="11"/>
      <c r="E544" s="2"/>
    </row>
    <row r="545" spans="1:5">
      <c r="A545" s="8" t="str">
        <f t="shared" ca="1" si="9"/>
        <v/>
      </c>
      <c r="B545" s="12"/>
      <c r="C545" s="4"/>
      <c r="D545" s="11"/>
      <c r="E545" s="2"/>
    </row>
    <row r="546" spans="1:5">
      <c r="A546" s="8" t="str">
        <f t="shared" ca="1" si="9"/>
        <v/>
      </c>
      <c r="B546" s="12"/>
      <c r="C546" s="4"/>
      <c r="D546" s="11"/>
      <c r="E546" s="2"/>
    </row>
    <row r="547" spans="1:5">
      <c r="A547" s="8" t="str">
        <f t="shared" ca="1" si="9"/>
        <v/>
      </c>
      <c r="B547" s="12"/>
      <c r="C547" s="4"/>
      <c r="D547" s="11"/>
      <c r="E547" s="2"/>
    </row>
    <row r="548" spans="1:5">
      <c r="A548" s="8" t="str">
        <f t="shared" ca="1" si="9"/>
        <v/>
      </c>
      <c r="B548" s="12"/>
      <c r="C548" s="4"/>
      <c r="D548" s="11"/>
      <c r="E548" s="2"/>
    </row>
    <row r="549" spans="1:5">
      <c r="A549" s="8" t="str">
        <f t="shared" ca="1" si="9"/>
        <v/>
      </c>
      <c r="B549" s="12"/>
      <c r="C549" s="4"/>
      <c r="D549" s="11"/>
      <c r="E549" s="2"/>
    </row>
    <row r="550" spans="1:5">
      <c r="A550" s="8" t="str">
        <f t="shared" ca="1" si="9"/>
        <v/>
      </c>
      <c r="B550" s="12"/>
      <c r="C550" s="4"/>
      <c r="D550" s="11"/>
      <c r="E550" s="2"/>
    </row>
    <row r="551" spans="1:5">
      <c r="A551" s="8" t="str">
        <f t="shared" ca="1" si="9"/>
        <v/>
      </c>
      <c r="B551" s="12"/>
      <c r="C551" s="4"/>
      <c r="D551" s="11"/>
      <c r="E551" s="2"/>
    </row>
    <row r="552" spans="1:5">
      <c r="A552" s="8" t="str">
        <f t="shared" ca="1" si="9"/>
        <v/>
      </c>
      <c r="B552" s="12"/>
      <c r="C552" s="4"/>
      <c r="D552" s="11"/>
      <c r="E552" s="2"/>
    </row>
    <row r="553" spans="1:5">
      <c r="A553" s="8" t="str">
        <f t="shared" ca="1" si="9"/>
        <v/>
      </c>
      <c r="B553" s="12"/>
      <c r="C553" s="4"/>
      <c r="D553" s="11"/>
      <c r="E553" s="2"/>
    </row>
    <row r="554" spans="1:5">
      <c r="A554" s="8" t="str">
        <f t="shared" ca="1" si="9"/>
        <v/>
      </c>
      <c r="B554" s="12"/>
      <c r="C554" s="4"/>
      <c r="D554" s="11"/>
      <c r="E554" s="2"/>
    </row>
    <row r="555" spans="1:5">
      <c r="A555" s="8" t="str">
        <f t="shared" ca="1" si="9"/>
        <v/>
      </c>
      <c r="B555" s="12"/>
      <c r="C555" s="4"/>
      <c r="D555" s="11"/>
      <c r="E555" s="2"/>
    </row>
    <row r="556" spans="1:5">
      <c r="A556" s="8" t="str">
        <f t="shared" ca="1" si="9"/>
        <v/>
      </c>
      <c r="B556" s="12"/>
      <c r="C556" s="4"/>
      <c r="D556" s="11"/>
      <c r="E556" s="2"/>
    </row>
    <row r="557" spans="1:5">
      <c r="A557" s="8" t="str">
        <f t="shared" ca="1" si="9"/>
        <v/>
      </c>
      <c r="B557" s="12"/>
      <c r="C557" s="4"/>
      <c r="D557" s="11"/>
      <c r="E557" s="2"/>
    </row>
    <row r="558" spans="1:5">
      <c r="A558" s="8" t="str">
        <f t="shared" ca="1" si="9"/>
        <v/>
      </c>
      <c r="B558" s="12"/>
      <c r="C558" s="4"/>
      <c r="D558" s="11"/>
      <c r="E558" s="2"/>
    </row>
    <row r="559" spans="1:5">
      <c r="A559" s="8" t="str">
        <f t="shared" ca="1" si="9"/>
        <v/>
      </c>
      <c r="B559" s="12"/>
      <c r="C559" s="4"/>
      <c r="D559" s="11"/>
      <c r="E559" s="2"/>
    </row>
    <row r="560" spans="1:5">
      <c r="A560" s="8" t="str">
        <f t="shared" ca="1" si="9"/>
        <v/>
      </c>
      <c r="B560" s="12"/>
      <c r="C560" s="4"/>
      <c r="D560" s="11"/>
      <c r="E560" s="2"/>
    </row>
    <row r="561" spans="1:5">
      <c r="A561" s="8" t="str">
        <f t="shared" ca="1" si="9"/>
        <v/>
      </c>
      <c r="B561" s="12"/>
      <c r="C561" s="4"/>
      <c r="D561" s="11"/>
      <c r="E561" s="2"/>
    </row>
    <row r="562" spans="1:5">
      <c r="A562" s="8" t="str">
        <f t="shared" ca="1" si="9"/>
        <v/>
      </c>
      <c r="B562" s="12"/>
      <c r="C562" s="4"/>
      <c r="D562" s="11"/>
      <c r="E562" s="2"/>
    </row>
    <row r="563" spans="1:5">
      <c r="A563" s="8" t="str">
        <f t="shared" ca="1" si="9"/>
        <v/>
      </c>
      <c r="B563" s="12"/>
      <c r="C563" s="4"/>
      <c r="D563" s="11"/>
      <c r="E563" s="2"/>
    </row>
    <row r="564" spans="1:5">
      <c r="A564" s="8" t="str">
        <f t="shared" ca="1" si="9"/>
        <v/>
      </c>
      <c r="B564" s="12"/>
      <c r="C564" s="4"/>
      <c r="D564" s="11"/>
      <c r="E564" s="2"/>
    </row>
    <row r="565" spans="1:5">
      <c r="A565" s="8" t="str">
        <f t="shared" ca="1" si="9"/>
        <v/>
      </c>
      <c r="B565" s="12"/>
      <c r="C565" s="4"/>
      <c r="D565" s="11"/>
      <c r="E565" s="2"/>
    </row>
    <row r="566" spans="1:5">
      <c r="A566" s="8" t="str">
        <f t="shared" ca="1" si="9"/>
        <v/>
      </c>
      <c r="B566" s="12"/>
      <c r="C566" s="4"/>
      <c r="D566" s="11"/>
      <c r="E566" s="2"/>
    </row>
    <row r="567" spans="1:5">
      <c r="A567" s="8" t="str">
        <f t="shared" ca="1" si="9"/>
        <v/>
      </c>
      <c r="B567" s="12"/>
      <c r="C567" s="4"/>
      <c r="D567" s="11"/>
      <c r="E567" s="2"/>
    </row>
    <row r="568" spans="1:5">
      <c r="A568" s="8" t="str">
        <f t="shared" ca="1" si="9"/>
        <v/>
      </c>
      <c r="B568" s="12"/>
      <c r="C568" s="4"/>
      <c r="D568" s="11"/>
      <c r="E568" s="2"/>
    </row>
    <row r="569" spans="1:5">
      <c r="A569" s="8" t="str">
        <f t="shared" ca="1" si="9"/>
        <v/>
      </c>
      <c r="B569" s="12"/>
      <c r="C569" s="4"/>
      <c r="D569" s="11"/>
      <c r="E569" s="2"/>
    </row>
    <row r="570" spans="1:5">
      <c r="A570" s="8" t="str">
        <f t="shared" ca="1" si="9"/>
        <v/>
      </c>
      <c r="B570" s="12"/>
      <c r="C570" s="4"/>
      <c r="D570" s="11"/>
      <c r="E570" s="2"/>
    </row>
    <row r="571" spans="1:5">
      <c r="A571" s="8" t="str">
        <f t="shared" ca="1" si="9"/>
        <v/>
      </c>
      <c r="B571" s="12"/>
      <c r="C571" s="4"/>
      <c r="D571" s="11"/>
      <c r="E571" s="2"/>
    </row>
    <row r="572" spans="1:5">
      <c r="A572" s="8" t="str">
        <f t="shared" ca="1" si="9"/>
        <v/>
      </c>
      <c r="B572" s="12"/>
      <c r="C572" s="4"/>
      <c r="D572" s="11"/>
      <c r="E572" s="2"/>
    </row>
    <row r="573" spans="1:5">
      <c r="A573" s="8" t="str">
        <f t="shared" ca="1" si="9"/>
        <v/>
      </c>
      <c r="B573" s="12"/>
      <c r="C573" s="4"/>
      <c r="D573" s="11"/>
      <c r="E573" s="2"/>
    </row>
    <row r="574" spans="1:5">
      <c r="A574" s="8" t="str">
        <f t="shared" ca="1" si="9"/>
        <v/>
      </c>
      <c r="B574" s="12"/>
      <c r="C574" s="4"/>
      <c r="D574" s="11"/>
      <c r="E574" s="2"/>
    </row>
    <row r="575" spans="1:5">
      <c r="A575" s="8" t="str">
        <f t="shared" ca="1" si="9"/>
        <v/>
      </c>
      <c r="B575" s="12"/>
      <c r="C575" s="4"/>
      <c r="D575" s="11"/>
      <c r="E575" s="2"/>
    </row>
    <row r="576" spans="1:5">
      <c r="A576" s="8" t="str">
        <f t="shared" ca="1" si="9"/>
        <v/>
      </c>
      <c r="B576" s="12"/>
      <c r="C576" s="4"/>
      <c r="D576" s="11"/>
      <c r="E576" s="2"/>
    </row>
    <row r="577" spans="1:5">
      <c r="A577" s="8" t="str">
        <f t="shared" ca="1" si="9"/>
        <v/>
      </c>
      <c r="B577" s="12"/>
      <c r="C577" s="4"/>
      <c r="D577" s="11"/>
      <c r="E577" s="2"/>
    </row>
    <row r="578" spans="1:5">
      <c r="A578" s="8" t="str">
        <f t="shared" ca="1" si="9"/>
        <v/>
      </c>
      <c r="B578" s="12"/>
      <c r="C578" s="4"/>
      <c r="D578" s="11"/>
      <c r="E578" s="2"/>
    </row>
    <row r="579" spans="1:5">
      <c r="A579" s="8" t="str">
        <f t="shared" ca="1" si="9"/>
        <v/>
      </c>
      <c r="B579" s="12"/>
      <c r="C579" s="4"/>
      <c r="D579" s="11"/>
      <c r="E579" s="2"/>
    </row>
    <row r="580" spans="1:5">
      <c r="A580" s="8" t="str">
        <f t="shared" ca="1" si="9"/>
        <v/>
      </c>
      <c r="B580" s="12"/>
      <c r="C580" s="4"/>
      <c r="D580" s="11"/>
      <c r="E580" s="2"/>
    </row>
    <row r="581" spans="1:5">
      <c r="A581" s="8" t="str">
        <f t="shared" ca="1" si="9"/>
        <v/>
      </c>
      <c r="B581" s="12"/>
      <c r="C581" s="4"/>
      <c r="D581" s="11"/>
      <c r="E581" s="2"/>
    </row>
    <row r="582" spans="1:5">
      <c r="A582" s="8" t="str">
        <f t="shared" ca="1" si="9"/>
        <v/>
      </c>
      <c r="B582" s="12"/>
      <c r="C582" s="4"/>
      <c r="D582" s="11"/>
      <c r="E582" s="2"/>
    </row>
    <row r="583" spans="1:5">
      <c r="A583" s="8" t="str">
        <f t="shared" ca="1" si="9"/>
        <v/>
      </c>
      <c r="B583" s="12"/>
      <c r="C583" s="4"/>
      <c r="D583" s="11"/>
      <c r="E583" s="2"/>
    </row>
    <row r="584" spans="1:5">
      <c r="A584" s="8" t="str">
        <f t="shared" ca="1" si="9"/>
        <v/>
      </c>
      <c r="B584" s="12"/>
      <c r="C584" s="4"/>
      <c r="D584" s="11"/>
      <c r="E584" s="2"/>
    </row>
    <row r="585" spans="1:5">
      <c r="A585" s="8" t="str">
        <f t="shared" ca="1" si="9"/>
        <v/>
      </c>
      <c r="B585" s="12"/>
      <c r="C585" s="4"/>
      <c r="D585" s="11"/>
      <c r="E585" s="2"/>
    </row>
    <row r="586" spans="1:5">
      <c r="A586" s="8" t="str">
        <f t="shared" ref="A586:A649" ca="1" si="10">IF(B586="","",IF(A586="",TODAY(),A586))</f>
        <v/>
      </c>
      <c r="B586" s="12"/>
      <c r="C586" s="4"/>
      <c r="D586" s="11"/>
      <c r="E586" s="2"/>
    </row>
    <row r="587" spans="1:5">
      <c r="A587" s="8" t="str">
        <f t="shared" ca="1" si="10"/>
        <v/>
      </c>
      <c r="B587" s="12"/>
      <c r="C587" s="4"/>
      <c r="D587" s="11"/>
      <c r="E587" s="2"/>
    </row>
    <row r="588" spans="1:5">
      <c r="A588" s="8" t="str">
        <f t="shared" ca="1" si="10"/>
        <v/>
      </c>
      <c r="B588" s="12"/>
      <c r="C588" s="4"/>
      <c r="D588" s="11"/>
      <c r="E588" s="2"/>
    </row>
    <row r="589" spans="1:5">
      <c r="A589" s="8" t="str">
        <f t="shared" ca="1" si="10"/>
        <v/>
      </c>
      <c r="B589" s="12"/>
      <c r="C589" s="4"/>
      <c r="D589" s="11"/>
      <c r="E589" s="2"/>
    </row>
    <row r="590" spans="1:5">
      <c r="A590" s="8" t="str">
        <f t="shared" ca="1" si="10"/>
        <v/>
      </c>
      <c r="B590" s="12"/>
      <c r="C590" s="4"/>
      <c r="D590" s="11"/>
      <c r="E590" s="2"/>
    </row>
    <row r="591" spans="1:5">
      <c r="A591" s="8" t="str">
        <f t="shared" ca="1" si="10"/>
        <v/>
      </c>
      <c r="B591" s="12"/>
      <c r="C591" s="4"/>
      <c r="D591" s="11"/>
      <c r="E591" s="2"/>
    </row>
    <row r="592" spans="1:5">
      <c r="A592" s="8" t="str">
        <f t="shared" ca="1" si="10"/>
        <v/>
      </c>
      <c r="B592" s="12"/>
      <c r="C592" s="4"/>
      <c r="D592" s="11"/>
      <c r="E592" s="2"/>
    </row>
    <row r="593" spans="1:5">
      <c r="A593" s="8" t="str">
        <f t="shared" ca="1" si="10"/>
        <v/>
      </c>
      <c r="B593" s="12"/>
      <c r="C593" s="4"/>
      <c r="D593" s="11"/>
      <c r="E593" s="2"/>
    </row>
    <row r="594" spans="1:5">
      <c r="A594" s="8" t="str">
        <f t="shared" ca="1" si="10"/>
        <v/>
      </c>
      <c r="B594" s="12"/>
      <c r="C594" s="4"/>
      <c r="D594" s="11"/>
      <c r="E594" s="2"/>
    </row>
    <row r="595" spans="1:5">
      <c r="A595" s="8" t="str">
        <f t="shared" ca="1" si="10"/>
        <v/>
      </c>
      <c r="B595" s="12"/>
      <c r="C595" s="4"/>
      <c r="D595" s="11"/>
      <c r="E595" s="2"/>
    </row>
    <row r="596" spans="1:5">
      <c r="A596" s="8" t="str">
        <f t="shared" ca="1" si="10"/>
        <v/>
      </c>
      <c r="B596" s="12"/>
      <c r="C596" s="4"/>
      <c r="D596" s="11"/>
      <c r="E596" s="2"/>
    </row>
    <row r="597" spans="1:5">
      <c r="A597" s="8" t="str">
        <f t="shared" ca="1" si="10"/>
        <v/>
      </c>
      <c r="B597" s="12"/>
      <c r="C597" s="4"/>
      <c r="D597" s="11"/>
      <c r="E597" s="2"/>
    </row>
    <row r="598" spans="1:5">
      <c r="A598" s="8" t="str">
        <f t="shared" ca="1" si="10"/>
        <v/>
      </c>
      <c r="B598" s="12"/>
      <c r="C598" s="4"/>
      <c r="D598" s="11"/>
      <c r="E598" s="2"/>
    </row>
    <row r="599" spans="1:5">
      <c r="A599" s="8" t="str">
        <f t="shared" ca="1" si="10"/>
        <v/>
      </c>
      <c r="B599" s="12"/>
      <c r="C599" s="4"/>
      <c r="D599" s="11"/>
      <c r="E599" s="2"/>
    </row>
    <row r="600" spans="1:5">
      <c r="A600" s="8" t="str">
        <f t="shared" ca="1" si="10"/>
        <v/>
      </c>
      <c r="B600" s="12"/>
      <c r="C600" s="4"/>
      <c r="D600" s="11"/>
      <c r="E600" s="2"/>
    </row>
    <row r="601" spans="1:5">
      <c r="A601" s="8" t="str">
        <f t="shared" ca="1" si="10"/>
        <v/>
      </c>
      <c r="B601" s="12"/>
      <c r="C601" s="4"/>
      <c r="D601" s="11"/>
      <c r="E601" s="2"/>
    </row>
    <row r="602" spans="1:5">
      <c r="A602" s="8" t="str">
        <f t="shared" ca="1" si="10"/>
        <v/>
      </c>
      <c r="B602" s="12"/>
      <c r="C602" s="4"/>
      <c r="D602" s="11"/>
      <c r="E602" s="2"/>
    </row>
    <row r="603" spans="1:5">
      <c r="A603" s="8" t="str">
        <f t="shared" ca="1" si="10"/>
        <v/>
      </c>
      <c r="B603" s="12"/>
      <c r="C603" s="4"/>
      <c r="D603" s="11"/>
      <c r="E603" s="2"/>
    </row>
    <row r="604" spans="1:5">
      <c r="A604" s="8" t="str">
        <f t="shared" ca="1" si="10"/>
        <v/>
      </c>
      <c r="B604" s="12"/>
      <c r="C604" s="4"/>
      <c r="D604" s="11"/>
      <c r="E604" s="2"/>
    </row>
    <row r="605" spans="1:5">
      <c r="A605" s="8" t="str">
        <f t="shared" ca="1" si="10"/>
        <v/>
      </c>
      <c r="B605" s="12"/>
      <c r="C605" s="4"/>
      <c r="D605" s="11"/>
      <c r="E605" s="2"/>
    </row>
    <row r="606" spans="1:5">
      <c r="A606" s="8" t="str">
        <f t="shared" ca="1" si="10"/>
        <v/>
      </c>
      <c r="B606" s="12"/>
      <c r="C606" s="4"/>
      <c r="D606" s="11"/>
      <c r="E606" s="2"/>
    </row>
    <row r="607" spans="1:5">
      <c r="A607" s="8" t="str">
        <f t="shared" ca="1" si="10"/>
        <v/>
      </c>
      <c r="B607" s="12"/>
      <c r="C607" s="4"/>
      <c r="D607" s="11"/>
      <c r="E607" s="2"/>
    </row>
    <row r="608" spans="1:5">
      <c r="A608" s="8" t="str">
        <f t="shared" ca="1" si="10"/>
        <v/>
      </c>
      <c r="B608" s="12"/>
      <c r="C608" s="4"/>
      <c r="D608" s="11"/>
      <c r="E608" s="2"/>
    </row>
    <row r="609" spans="1:5">
      <c r="A609" s="8" t="str">
        <f t="shared" ca="1" si="10"/>
        <v/>
      </c>
      <c r="B609" s="12"/>
      <c r="C609" s="4"/>
      <c r="D609" s="11"/>
      <c r="E609" s="2"/>
    </row>
    <row r="610" spans="1:5">
      <c r="A610" s="8" t="str">
        <f t="shared" ca="1" si="10"/>
        <v/>
      </c>
      <c r="B610" s="12"/>
      <c r="C610" s="4"/>
      <c r="D610" s="11"/>
      <c r="E610" s="2"/>
    </row>
    <row r="611" spans="1:5">
      <c r="A611" s="8" t="str">
        <f t="shared" ca="1" si="10"/>
        <v/>
      </c>
      <c r="B611" s="12"/>
      <c r="C611" s="4"/>
      <c r="D611" s="11"/>
      <c r="E611" s="2"/>
    </row>
    <row r="612" spans="1:5">
      <c r="A612" s="8" t="str">
        <f t="shared" ca="1" si="10"/>
        <v/>
      </c>
      <c r="B612" s="12"/>
      <c r="C612" s="4"/>
      <c r="D612" s="11"/>
      <c r="E612" s="2"/>
    </row>
    <row r="613" spans="1:5">
      <c r="A613" s="8" t="str">
        <f t="shared" ca="1" si="10"/>
        <v/>
      </c>
      <c r="B613" s="12"/>
      <c r="C613" s="4"/>
      <c r="D613" s="11"/>
      <c r="E613" s="2"/>
    </row>
    <row r="614" spans="1:5">
      <c r="A614" s="8" t="str">
        <f t="shared" ca="1" si="10"/>
        <v/>
      </c>
      <c r="B614" s="12"/>
      <c r="C614" s="4"/>
      <c r="D614" s="11"/>
      <c r="E614" s="2"/>
    </row>
    <row r="615" spans="1:5">
      <c r="A615" s="8" t="str">
        <f t="shared" ca="1" si="10"/>
        <v/>
      </c>
      <c r="B615" s="12"/>
      <c r="C615" s="4"/>
      <c r="D615" s="11"/>
      <c r="E615" s="2"/>
    </row>
    <row r="616" spans="1:5">
      <c r="A616" s="8" t="str">
        <f t="shared" ca="1" si="10"/>
        <v/>
      </c>
      <c r="B616" s="12"/>
      <c r="C616" s="4"/>
      <c r="D616" s="11"/>
      <c r="E616" s="2"/>
    </row>
    <row r="617" spans="1:5">
      <c r="A617" s="8" t="str">
        <f t="shared" ca="1" si="10"/>
        <v/>
      </c>
      <c r="B617" s="12"/>
      <c r="C617" s="4"/>
      <c r="D617" s="11"/>
      <c r="E617" s="2"/>
    </row>
    <row r="618" spans="1:5">
      <c r="A618" s="8" t="str">
        <f t="shared" ca="1" si="10"/>
        <v/>
      </c>
      <c r="B618" s="12"/>
      <c r="C618" s="4"/>
      <c r="D618" s="11"/>
      <c r="E618" s="2"/>
    </row>
    <row r="619" spans="1:5">
      <c r="A619" s="8" t="str">
        <f t="shared" ca="1" si="10"/>
        <v/>
      </c>
      <c r="B619" s="12"/>
      <c r="C619" s="4"/>
      <c r="D619" s="11"/>
      <c r="E619" s="2"/>
    </row>
    <row r="620" spans="1:5">
      <c r="A620" s="8" t="str">
        <f t="shared" ca="1" si="10"/>
        <v/>
      </c>
      <c r="B620" s="12"/>
      <c r="C620" s="4"/>
      <c r="D620" s="11"/>
      <c r="E620" s="2"/>
    </row>
    <row r="621" spans="1:5">
      <c r="A621" s="8" t="str">
        <f t="shared" ca="1" si="10"/>
        <v/>
      </c>
      <c r="B621" s="12"/>
      <c r="C621" s="4"/>
      <c r="D621" s="11"/>
      <c r="E621" s="2"/>
    </row>
    <row r="622" spans="1:5">
      <c r="A622" s="8" t="str">
        <f t="shared" ca="1" si="10"/>
        <v/>
      </c>
      <c r="B622" s="12"/>
      <c r="C622" s="4"/>
      <c r="D622" s="11"/>
      <c r="E622" s="2"/>
    </row>
    <row r="623" spans="1:5">
      <c r="A623" s="8" t="str">
        <f t="shared" ca="1" si="10"/>
        <v/>
      </c>
      <c r="B623" s="12"/>
      <c r="C623" s="4"/>
      <c r="D623" s="11"/>
      <c r="E623" s="2"/>
    </row>
    <row r="624" spans="1:5">
      <c r="A624" s="8" t="str">
        <f t="shared" ca="1" si="10"/>
        <v/>
      </c>
      <c r="B624" s="12"/>
      <c r="C624" s="4"/>
      <c r="D624" s="11"/>
      <c r="E624" s="2"/>
    </row>
    <row r="625" spans="1:5">
      <c r="A625" s="8" t="str">
        <f t="shared" ca="1" si="10"/>
        <v/>
      </c>
      <c r="B625" s="12"/>
      <c r="C625" s="4"/>
      <c r="D625" s="11"/>
      <c r="E625" s="2"/>
    </row>
    <row r="626" spans="1:5">
      <c r="A626" s="8" t="str">
        <f t="shared" ca="1" si="10"/>
        <v/>
      </c>
      <c r="B626" s="12"/>
      <c r="C626" s="4"/>
      <c r="D626" s="11"/>
      <c r="E626" s="2"/>
    </row>
    <row r="627" spans="1:5">
      <c r="A627" s="8" t="str">
        <f t="shared" ca="1" si="10"/>
        <v/>
      </c>
      <c r="B627" s="12"/>
      <c r="C627" s="4"/>
      <c r="D627" s="11"/>
      <c r="E627" s="2"/>
    </row>
    <row r="628" spans="1:5">
      <c r="A628" s="8" t="str">
        <f t="shared" ca="1" si="10"/>
        <v/>
      </c>
      <c r="B628" s="12"/>
      <c r="C628" s="4"/>
      <c r="D628" s="11"/>
      <c r="E628" s="2"/>
    </row>
    <row r="629" spans="1:5">
      <c r="A629" s="8" t="str">
        <f t="shared" ca="1" si="10"/>
        <v/>
      </c>
      <c r="B629" s="12"/>
      <c r="C629" s="4"/>
      <c r="D629" s="11"/>
      <c r="E629" s="2"/>
    </row>
    <row r="630" spans="1:5">
      <c r="A630" s="8" t="str">
        <f t="shared" ca="1" si="10"/>
        <v/>
      </c>
      <c r="B630" s="12"/>
      <c r="C630" s="4"/>
      <c r="D630" s="11"/>
      <c r="E630" s="2"/>
    </row>
    <row r="631" spans="1:5">
      <c r="A631" s="8" t="str">
        <f t="shared" ca="1" si="10"/>
        <v/>
      </c>
      <c r="B631" s="12"/>
      <c r="C631" s="4"/>
      <c r="D631" s="11"/>
      <c r="E631" s="2"/>
    </row>
    <row r="632" spans="1:5">
      <c r="A632" s="8" t="str">
        <f t="shared" ca="1" si="10"/>
        <v/>
      </c>
      <c r="B632" s="12"/>
      <c r="C632" s="4"/>
      <c r="D632" s="11"/>
      <c r="E632" s="2"/>
    </row>
    <row r="633" spans="1:5">
      <c r="A633" s="8" t="str">
        <f t="shared" ca="1" si="10"/>
        <v/>
      </c>
      <c r="B633" s="12"/>
      <c r="C633" s="4"/>
      <c r="D633" s="11"/>
      <c r="E633" s="2"/>
    </row>
    <row r="634" spans="1:5">
      <c r="A634" s="8" t="str">
        <f t="shared" ca="1" si="10"/>
        <v/>
      </c>
      <c r="B634" s="12"/>
      <c r="C634" s="4"/>
      <c r="D634" s="11"/>
      <c r="E634" s="2"/>
    </row>
    <row r="635" spans="1:5">
      <c r="A635" s="8" t="str">
        <f t="shared" ca="1" si="10"/>
        <v/>
      </c>
      <c r="B635" s="12"/>
      <c r="C635" s="4"/>
      <c r="D635" s="11"/>
      <c r="E635" s="2"/>
    </row>
    <row r="636" spans="1:5">
      <c r="A636" s="8" t="str">
        <f t="shared" ca="1" si="10"/>
        <v/>
      </c>
      <c r="B636" s="12"/>
      <c r="C636" s="4"/>
      <c r="D636" s="11"/>
      <c r="E636" s="2"/>
    </row>
    <row r="637" spans="1:5">
      <c r="A637" s="8" t="str">
        <f t="shared" ca="1" si="10"/>
        <v/>
      </c>
      <c r="B637" s="12"/>
      <c r="C637" s="4"/>
      <c r="D637" s="11"/>
      <c r="E637" s="2"/>
    </row>
    <row r="638" spans="1:5">
      <c r="A638" s="8" t="str">
        <f t="shared" ca="1" si="10"/>
        <v/>
      </c>
      <c r="B638" s="12"/>
      <c r="C638" s="4"/>
      <c r="D638" s="11"/>
      <c r="E638" s="2"/>
    </row>
    <row r="639" spans="1:5">
      <c r="A639" s="8" t="str">
        <f t="shared" ca="1" si="10"/>
        <v/>
      </c>
      <c r="B639" s="12"/>
      <c r="C639" s="4"/>
      <c r="D639" s="11"/>
      <c r="E639" s="2"/>
    </row>
    <row r="640" spans="1:5">
      <c r="A640" s="8" t="str">
        <f t="shared" ca="1" si="10"/>
        <v/>
      </c>
      <c r="B640" s="12"/>
      <c r="C640" s="4"/>
      <c r="D640" s="11"/>
      <c r="E640" s="2"/>
    </row>
    <row r="641" spans="1:5">
      <c r="A641" s="8" t="str">
        <f t="shared" ca="1" si="10"/>
        <v/>
      </c>
      <c r="B641" s="12"/>
      <c r="C641" s="4"/>
      <c r="D641" s="11"/>
      <c r="E641" s="2"/>
    </row>
    <row r="642" spans="1:5">
      <c r="A642" s="8" t="str">
        <f t="shared" ca="1" si="10"/>
        <v/>
      </c>
      <c r="B642" s="12"/>
      <c r="C642" s="4"/>
      <c r="D642" s="11"/>
      <c r="E642" s="2"/>
    </row>
    <row r="643" spans="1:5">
      <c r="A643" s="8" t="str">
        <f t="shared" ca="1" si="10"/>
        <v/>
      </c>
      <c r="B643" s="12"/>
      <c r="C643" s="4"/>
      <c r="D643" s="11"/>
      <c r="E643" s="2"/>
    </row>
    <row r="644" spans="1:5">
      <c r="A644" s="8" t="str">
        <f t="shared" ca="1" si="10"/>
        <v/>
      </c>
      <c r="B644" s="12"/>
      <c r="C644" s="4"/>
      <c r="D644" s="11"/>
      <c r="E644" s="2"/>
    </row>
    <row r="645" spans="1:5">
      <c r="A645" s="8" t="str">
        <f t="shared" ca="1" si="10"/>
        <v/>
      </c>
      <c r="B645" s="12"/>
      <c r="C645" s="4"/>
      <c r="D645" s="11"/>
      <c r="E645" s="2"/>
    </row>
    <row r="646" spans="1:5">
      <c r="A646" s="8" t="str">
        <f t="shared" ca="1" si="10"/>
        <v/>
      </c>
      <c r="B646" s="12"/>
      <c r="C646" s="4"/>
      <c r="D646" s="11"/>
      <c r="E646" s="2"/>
    </row>
    <row r="647" spans="1:5">
      <c r="A647" s="8" t="str">
        <f t="shared" ca="1" si="10"/>
        <v/>
      </c>
      <c r="B647" s="12"/>
      <c r="C647" s="4"/>
      <c r="D647" s="11"/>
      <c r="E647" s="2"/>
    </row>
    <row r="648" spans="1:5">
      <c r="A648" s="8" t="str">
        <f t="shared" ca="1" si="10"/>
        <v/>
      </c>
      <c r="B648" s="12"/>
      <c r="C648" s="4"/>
      <c r="D648" s="11"/>
      <c r="E648" s="2"/>
    </row>
    <row r="649" spans="1:5">
      <c r="A649" s="8" t="str">
        <f t="shared" ca="1" si="10"/>
        <v/>
      </c>
      <c r="B649" s="12"/>
      <c r="C649" s="4"/>
      <c r="D649" s="11"/>
      <c r="E649" s="2"/>
    </row>
    <row r="650" spans="1:5">
      <c r="A650" s="8" t="str">
        <f t="shared" ref="A650:A713" ca="1" si="11">IF(B650="","",IF(A650="",TODAY(),A650))</f>
        <v/>
      </c>
      <c r="B650" s="12"/>
      <c r="C650" s="4"/>
      <c r="D650" s="11"/>
      <c r="E650" s="2"/>
    </row>
    <row r="651" spans="1:5">
      <c r="A651" s="8" t="str">
        <f t="shared" ca="1" si="11"/>
        <v/>
      </c>
      <c r="B651" s="12"/>
      <c r="C651" s="4"/>
      <c r="D651" s="11"/>
      <c r="E651" s="2"/>
    </row>
    <row r="652" spans="1:5">
      <c r="A652" s="8" t="str">
        <f t="shared" ca="1" si="11"/>
        <v/>
      </c>
      <c r="B652" s="12"/>
      <c r="C652" s="4"/>
      <c r="D652" s="11"/>
      <c r="E652" s="2"/>
    </row>
    <row r="653" spans="1:5">
      <c r="A653" s="8" t="str">
        <f t="shared" ca="1" si="11"/>
        <v/>
      </c>
      <c r="B653" s="12"/>
      <c r="C653" s="4"/>
      <c r="D653" s="11"/>
      <c r="E653" s="2"/>
    </row>
    <row r="654" spans="1:5">
      <c r="A654" s="8" t="str">
        <f t="shared" ca="1" si="11"/>
        <v/>
      </c>
      <c r="B654" s="12"/>
      <c r="C654" s="4"/>
      <c r="D654" s="11"/>
      <c r="E654" s="2"/>
    </row>
    <row r="655" spans="1:5">
      <c r="A655" s="8" t="str">
        <f t="shared" ca="1" si="11"/>
        <v/>
      </c>
      <c r="B655" s="12"/>
      <c r="C655" s="4"/>
      <c r="D655" s="11"/>
      <c r="E655" s="2"/>
    </row>
    <row r="656" spans="1:5">
      <c r="A656" s="8" t="str">
        <f t="shared" ca="1" si="11"/>
        <v/>
      </c>
      <c r="B656" s="12"/>
      <c r="C656" s="4"/>
      <c r="D656" s="11"/>
      <c r="E656" s="2"/>
    </row>
    <row r="657" spans="1:5">
      <c r="A657" s="8" t="str">
        <f t="shared" ca="1" si="11"/>
        <v/>
      </c>
      <c r="B657" s="12"/>
      <c r="C657" s="4"/>
      <c r="D657" s="11"/>
      <c r="E657" s="2"/>
    </row>
    <row r="658" spans="1:5">
      <c r="A658" s="8" t="str">
        <f t="shared" ca="1" si="11"/>
        <v/>
      </c>
      <c r="B658" s="12"/>
      <c r="C658" s="4"/>
      <c r="D658" s="11"/>
      <c r="E658" s="2"/>
    </row>
    <row r="659" spans="1:5">
      <c r="A659" s="8" t="str">
        <f t="shared" ca="1" si="11"/>
        <v/>
      </c>
      <c r="B659" s="12"/>
      <c r="C659" s="4"/>
      <c r="D659" s="11"/>
      <c r="E659" s="2"/>
    </row>
    <row r="660" spans="1:5">
      <c r="A660" s="8" t="str">
        <f t="shared" ca="1" si="11"/>
        <v/>
      </c>
      <c r="B660" s="12"/>
      <c r="C660" s="4"/>
      <c r="D660" s="11"/>
      <c r="E660" s="2"/>
    </row>
    <row r="661" spans="1:5">
      <c r="A661" s="8" t="str">
        <f t="shared" ca="1" si="11"/>
        <v/>
      </c>
      <c r="B661" s="12"/>
      <c r="C661" s="4"/>
      <c r="D661" s="11"/>
      <c r="E661" s="2"/>
    </row>
    <row r="662" spans="1:5">
      <c r="A662" s="8" t="str">
        <f t="shared" ca="1" si="11"/>
        <v/>
      </c>
      <c r="B662" s="12"/>
      <c r="C662" s="4"/>
      <c r="D662" s="11"/>
      <c r="E662" s="2"/>
    </row>
    <row r="663" spans="1:5">
      <c r="A663" s="8" t="str">
        <f t="shared" ca="1" si="11"/>
        <v/>
      </c>
      <c r="B663" s="12"/>
      <c r="C663" s="4"/>
      <c r="D663" s="11"/>
      <c r="E663" s="2"/>
    </row>
    <row r="664" spans="1:5">
      <c r="A664" s="8" t="str">
        <f t="shared" ca="1" si="11"/>
        <v/>
      </c>
      <c r="B664" s="12"/>
      <c r="C664" s="4"/>
      <c r="D664" s="11"/>
      <c r="E664" s="2"/>
    </row>
    <row r="665" spans="1:5">
      <c r="A665" s="8" t="str">
        <f t="shared" ca="1" si="11"/>
        <v/>
      </c>
      <c r="B665" s="12"/>
      <c r="C665" s="4"/>
      <c r="D665" s="11"/>
      <c r="E665" s="2"/>
    </row>
    <row r="666" spans="1:5">
      <c r="A666" s="8" t="str">
        <f t="shared" ca="1" si="11"/>
        <v/>
      </c>
      <c r="B666" s="12"/>
      <c r="C666" s="4"/>
      <c r="D666" s="11"/>
      <c r="E666" s="2"/>
    </row>
    <row r="667" spans="1:5">
      <c r="A667" s="8" t="str">
        <f t="shared" ca="1" si="11"/>
        <v/>
      </c>
      <c r="B667" s="12"/>
      <c r="C667" s="4"/>
      <c r="D667" s="11"/>
      <c r="E667" s="2"/>
    </row>
    <row r="668" spans="1:5">
      <c r="A668" s="8" t="str">
        <f t="shared" ca="1" si="11"/>
        <v/>
      </c>
      <c r="B668" s="12"/>
      <c r="C668" s="4"/>
      <c r="D668" s="11"/>
      <c r="E668" s="2"/>
    </row>
    <row r="669" spans="1:5">
      <c r="A669" s="8" t="str">
        <f t="shared" ca="1" si="11"/>
        <v/>
      </c>
      <c r="B669" s="12"/>
      <c r="C669" s="4"/>
      <c r="D669" s="11"/>
      <c r="E669" s="2"/>
    </row>
    <row r="670" spans="1:5">
      <c r="A670" s="8" t="str">
        <f t="shared" ca="1" si="11"/>
        <v/>
      </c>
      <c r="B670" s="12"/>
      <c r="C670" s="4"/>
      <c r="D670" s="11"/>
      <c r="E670" s="2"/>
    </row>
    <row r="671" spans="1:5">
      <c r="A671" s="8" t="str">
        <f t="shared" ca="1" si="11"/>
        <v/>
      </c>
      <c r="B671" s="12"/>
      <c r="C671" s="4"/>
      <c r="D671" s="11"/>
      <c r="E671" s="2"/>
    </row>
    <row r="672" spans="1:5">
      <c r="A672" s="8" t="str">
        <f t="shared" ca="1" si="11"/>
        <v/>
      </c>
      <c r="B672" s="12"/>
      <c r="C672" s="4"/>
      <c r="D672" s="11"/>
      <c r="E672" s="2"/>
    </row>
    <row r="673" spans="1:5">
      <c r="A673" s="8" t="str">
        <f t="shared" ca="1" si="11"/>
        <v/>
      </c>
      <c r="B673" s="12"/>
      <c r="C673" s="4"/>
      <c r="D673" s="11"/>
      <c r="E673" s="2"/>
    </row>
    <row r="674" spans="1:5">
      <c r="A674" s="8" t="str">
        <f t="shared" ca="1" si="11"/>
        <v/>
      </c>
      <c r="B674" s="12"/>
      <c r="C674" s="4"/>
      <c r="D674" s="11"/>
      <c r="E674" s="2"/>
    </row>
    <row r="675" spans="1:5">
      <c r="A675" s="8" t="str">
        <f t="shared" ca="1" si="11"/>
        <v/>
      </c>
      <c r="B675" s="12"/>
      <c r="C675" s="4"/>
      <c r="D675" s="11"/>
      <c r="E675" s="2"/>
    </row>
    <row r="676" spans="1:5">
      <c r="A676" s="8" t="str">
        <f t="shared" ca="1" si="11"/>
        <v/>
      </c>
      <c r="B676" s="12"/>
      <c r="C676" s="4"/>
      <c r="D676" s="11"/>
      <c r="E676" s="2"/>
    </row>
    <row r="677" spans="1:5">
      <c r="A677" s="8" t="str">
        <f t="shared" ca="1" si="11"/>
        <v/>
      </c>
      <c r="B677" s="12"/>
      <c r="C677" s="4"/>
      <c r="D677" s="11"/>
      <c r="E677" s="2"/>
    </row>
    <row r="678" spans="1:5">
      <c r="A678" s="8" t="str">
        <f t="shared" ca="1" si="11"/>
        <v/>
      </c>
      <c r="B678" s="12"/>
      <c r="C678" s="4"/>
      <c r="D678" s="11"/>
      <c r="E678" s="2"/>
    </row>
    <row r="679" spans="1:5">
      <c r="A679" s="8" t="str">
        <f t="shared" ca="1" si="11"/>
        <v/>
      </c>
      <c r="B679" s="12"/>
      <c r="C679" s="4"/>
      <c r="D679" s="11"/>
      <c r="E679" s="2"/>
    </row>
    <row r="680" spans="1:5">
      <c r="A680" s="8" t="str">
        <f t="shared" ca="1" si="11"/>
        <v/>
      </c>
      <c r="B680" s="12"/>
      <c r="C680" s="4"/>
      <c r="D680" s="11"/>
      <c r="E680" s="2"/>
    </row>
    <row r="681" spans="1:5">
      <c r="A681" s="8" t="str">
        <f t="shared" ca="1" si="11"/>
        <v/>
      </c>
      <c r="B681" s="12"/>
      <c r="C681" s="4"/>
      <c r="D681" s="11"/>
      <c r="E681" s="2"/>
    </row>
    <row r="682" spans="1:5">
      <c r="A682" s="8" t="str">
        <f t="shared" ca="1" si="11"/>
        <v/>
      </c>
      <c r="B682" s="12"/>
      <c r="C682" s="4"/>
      <c r="D682" s="11"/>
      <c r="E682" s="2"/>
    </row>
    <row r="683" spans="1:5">
      <c r="A683" s="8" t="str">
        <f t="shared" ca="1" si="11"/>
        <v/>
      </c>
      <c r="B683" s="12"/>
      <c r="C683" s="4"/>
      <c r="D683" s="11"/>
      <c r="E683" s="2"/>
    </row>
    <row r="684" spans="1:5">
      <c r="A684" s="8" t="str">
        <f t="shared" ca="1" si="11"/>
        <v/>
      </c>
      <c r="B684" s="12"/>
      <c r="C684" s="4"/>
      <c r="D684" s="11"/>
      <c r="E684" s="2"/>
    </row>
    <row r="685" spans="1:5">
      <c r="A685" s="8" t="str">
        <f t="shared" ca="1" si="11"/>
        <v/>
      </c>
      <c r="B685" s="12"/>
      <c r="C685" s="4"/>
      <c r="D685" s="11"/>
      <c r="E685" s="2"/>
    </row>
    <row r="686" spans="1:5">
      <c r="A686" s="8" t="str">
        <f t="shared" ca="1" si="11"/>
        <v/>
      </c>
      <c r="B686" s="12"/>
      <c r="C686" s="4"/>
      <c r="D686" s="11"/>
      <c r="E686" s="2"/>
    </row>
    <row r="687" spans="1:5">
      <c r="A687" s="8" t="str">
        <f t="shared" ca="1" si="11"/>
        <v/>
      </c>
      <c r="B687" s="12"/>
      <c r="C687" s="4"/>
      <c r="D687" s="11"/>
      <c r="E687" s="2"/>
    </row>
    <row r="688" spans="1:5">
      <c r="A688" s="8" t="str">
        <f t="shared" ca="1" si="11"/>
        <v/>
      </c>
      <c r="B688" s="12"/>
      <c r="C688" s="4"/>
      <c r="D688" s="11"/>
      <c r="E688" s="2"/>
    </row>
    <row r="689" spans="1:5">
      <c r="A689" s="8" t="str">
        <f t="shared" ca="1" si="11"/>
        <v/>
      </c>
      <c r="B689" s="12"/>
      <c r="C689" s="4"/>
      <c r="D689" s="11"/>
      <c r="E689" s="2"/>
    </row>
    <row r="690" spans="1:5">
      <c r="A690" s="8" t="str">
        <f t="shared" ca="1" si="11"/>
        <v/>
      </c>
      <c r="B690" s="12"/>
      <c r="C690" s="4"/>
      <c r="D690" s="11"/>
      <c r="E690" s="2"/>
    </row>
    <row r="691" spans="1:5">
      <c r="A691" s="8" t="str">
        <f t="shared" ca="1" si="11"/>
        <v/>
      </c>
      <c r="B691" s="12"/>
      <c r="C691" s="4"/>
      <c r="D691" s="11"/>
      <c r="E691" s="2"/>
    </row>
    <row r="692" spans="1:5">
      <c r="A692" s="8" t="str">
        <f t="shared" ca="1" si="11"/>
        <v/>
      </c>
      <c r="B692" s="12"/>
      <c r="C692" s="4"/>
      <c r="D692" s="11"/>
      <c r="E692" s="2"/>
    </row>
    <row r="693" spans="1:5">
      <c r="A693" s="8" t="str">
        <f t="shared" ca="1" si="11"/>
        <v/>
      </c>
      <c r="B693" s="12"/>
      <c r="C693" s="4"/>
      <c r="D693" s="11"/>
      <c r="E693" s="2"/>
    </row>
    <row r="694" spans="1:5">
      <c r="A694" s="8" t="str">
        <f t="shared" ca="1" si="11"/>
        <v/>
      </c>
      <c r="B694" s="12"/>
      <c r="C694" s="4"/>
      <c r="D694" s="11"/>
      <c r="E694" s="2"/>
    </row>
    <row r="695" spans="1:5">
      <c r="A695" s="8" t="str">
        <f t="shared" ca="1" si="11"/>
        <v/>
      </c>
      <c r="B695" s="12"/>
      <c r="C695" s="4"/>
      <c r="D695" s="11"/>
      <c r="E695" s="2"/>
    </row>
    <row r="696" spans="1:5">
      <c r="A696" s="8" t="str">
        <f t="shared" ca="1" si="11"/>
        <v/>
      </c>
      <c r="B696" s="12"/>
      <c r="C696" s="4"/>
      <c r="D696" s="11"/>
      <c r="E696" s="2"/>
    </row>
    <row r="697" spans="1:5">
      <c r="A697" s="8" t="str">
        <f t="shared" ca="1" si="11"/>
        <v/>
      </c>
      <c r="B697" s="12"/>
      <c r="C697" s="4"/>
      <c r="D697" s="11"/>
      <c r="E697" s="2"/>
    </row>
    <row r="698" spans="1:5">
      <c r="A698" s="8" t="str">
        <f t="shared" ca="1" si="11"/>
        <v/>
      </c>
      <c r="B698" s="12"/>
      <c r="C698" s="4"/>
      <c r="D698" s="11"/>
      <c r="E698" s="2"/>
    </row>
    <row r="699" spans="1:5">
      <c r="A699" s="8" t="str">
        <f t="shared" ca="1" si="11"/>
        <v/>
      </c>
      <c r="B699" s="12"/>
      <c r="C699" s="4"/>
      <c r="D699" s="11"/>
      <c r="E699" s="2"/>
    </row>
    <row r="700" spans="1:5">
      <c r="A700" s="8" t="str">
        <f t="shared" ca="1" si="11"/>
        <v/>
      </c>
      <c r="B700" s="12"/>
      <c r="C700" s="4"/>
      <c r="D700" s="11"/>
      <c r="E700" s="2"/>
    </row>
    <row r="701" spans="1:5">
      <c r="A701" s="8" t="str">
        <f t="shared" ca="1" si="11"/>
        <v/>
      </c>
      <c r="B701" s="12"/>
      <c r="C701" s="4"/>
      <c r="D701" s="11"/>
      <c r="E701" s="2"/>
    </row>
    <row r="702" spans="1:5">
      <c r="A702" s="8" t="str">
        <f t="shared" ca="1" si="11"/>
        <v/>
      </c>
      <c r="B702" s="12"/>
      <c r="C702" s="4"/>
      <c r="D702" s="11"/>
      <c r="E702" s="2"/>
    </row>
    <row r="703" spans="1:5">
      <c r="A703" s="8" t="str">
        <f t="shared" ca="1" si="11"/>
        <v/>
      </c>
      <c r="B703" s="12"/>
      <c r="C703" s="4"/>
      <c r="D703" s="11"/>
      <c r="E703" s="2"/>
    </row>
    <row r="704" spans="1:5">
      <c r="A704" s="8" t="str">
        <f t="shared" ca="1" si="11"/>
        <v/>
      </c>
      <c r="B704" s="12"/>
      <c r="C704" s="4"/>
      <c r="D704" s="11"/>
      <c r="E704" s="2"/>
    </row>
    <row r="705" spans="1:5">
      <c r="A705" s="8" t="str">
        <f t="shared" ca="1" si="11"/>
        <v/>
      </c>
      <c r="B705" s="12"/>
      <c r="C705" s="4"/>
      <c r="D705" s="11"/>
      <c r="E705" s="2"/>
    </row>
    <row r="706" spans="1:5">
      <c r="A706" s="8" t="str">
        <f t="shared" ca="1" si="11"/>
        <v/>
      </c>
      <c r="B706" s="12"/>
      <c r="C706" s="4"/>
      <c r="D706" s="11"/>
      <c r="E706" s="2"/>
    </row>
    <row r="707" spans="1:5">
      <c r="A707" s="8" t="str">
        <f t="shared" ca="1" si="11"/>
        <v/>
      </c>
      <c r="B707" s="12"/>
      <c r="C707" s="4"/>
      <c r="D707" s="11"/>
      <c r="E707" s="2"/>
    </row>
    <row r="708" spans="1:5">
      <c r="A708" s="8" t="str">
        <f t="shared" ca="1" si="11"/>
        <v/>
      </c>
      <c r="B708" s="12"/>
      <c r="C708" s="4"/>
      <c r="D708" s="11"/>
      <c r="E708" s="2"/>
    </row>
    <row r="709" spans="1:5">
      <c r="A709" s="8" t="str">
        <f t="shared" ca="1" si="11"/>
        <v/>
      </c>
      <c r="B709" s="12"/>
      <c r="C709" s="4"/>
      <c r="D709" s="11"/>
      <c r="E709" s="2"/>
    </row>
    <row r="710" spans="1:5">
      <c r="A710" s="8" t="str">
        <f t="shared" ca="1" si="11"/>
        <v/>
      </c>
      <c r="B710" s="12"/>
      <c r="C710" s="4"/>
      <c r="D710" s="11"/>
      <c r="E710" s="2"/>
    </row>
    <row r="711" spans="1:5">
      <c r="A711" s="8" t="str">
        <f t="shared" ca="1" si="11"/>
        <v/>
      </c>
      <c r="B711" s="12"/>
      <c r="C711" s="4"/>
      <c r="D711" s="11"/>
      <c r="E711" s="2"/>
    </row>
    <row r="712" spans="1:5">
      <c r="A712" s="8" t="str">
        <f t="shared" ca="1" si="11"/>
        <v/>
      </c>
      <c r="B712" s="12"/>
      <c r="C712" s="4"/>
      <c r="D712" s="11"/>
      <c r="E712" s="2"/>
    </row>
    <row r="713" spans="1:5">
      <c r="A713" s="8" t="str">
        <f t="shared" ca="1" si="11"/>
        <v/>
      </c>
      <c r="B713" s="12"/>
      <c r="C713" s="4"/>
      <c r="D713" s="11"/>
      <c r="E713" s="2"/>
    </row>
    <row r="714" spans="1:5">
      <c r="A714" s="8" t="str">
        <f t="shared" ref="A714:A777" ca="1" si="12">IF(B714="","",IF(A714="",TODAY(),A714))</f>
        <v/>
      </c>
      <c r="B714" s="12"/>
      <c r="C714" s="4"/>
      <c r="D714" s="11"/>
      <c r="E714" s="2"/>
    </row>
    <row r="715" spans="1:5">
      <c r="A715" s="8" t="str">
        <f t="shared" ca="1" si="12"/>
        <v/>
      </c>
      <c r="B715" s="12"/>
      <c r="C715" s="4"/>
      <c r="D715" s="11"/>
      <c r="E715" s="2"/>
    </row>
    <row r="716" spans="1:5">
      <c r="A716" s="8" t="str">
        <f t="shared" ca="1" si="12"/>
        <v/>
      </c>
      <c r="B716" s="12"/>
      <c r="C716" s="4"/>
      <c r="D716" s="11"/>
      <c r="E716" s="2"/>
    </row>
    <row r="717" spans="1:5">
      <c r="A717" s="8" t="str">
        <f t="shared" ca="1" si="12"/>
        <v/>
      </c>
      <c r="B717" s="12"/>
      <c r="C717" s="4"/>
      <c r="D717" s="11"/>
      <c r="E717" s="2"/>
    </row>
    <row r="718" spans="1:5">
      <c r="A718" s="8" t="str">
        <f t="shared" ca="1" si="12"/>
        <v/>
      </c>
      <c r="B718" s="12"/>
      <c r="C718" s="4"/>
      <c r="D718" s="11"/>
      <c r="E718" s="2"/>
    </row>
    <row r="719" spans="1:5">
      <c r="A719" s="8" t="str">
        <f t="shared" ca="1" si="12"/>
        <v/>
      </c>
      <c r="B719" s="12"/>
      <c r="C719" s="4"/>
      <c r="D719" s="11"/>
      <c r="E719" s="2"/>
    </row>
    <row r="720" spans="1:5">
      <c r="A720" s="8" t="str">
        <f t="shared" ca="1" si="12"/>
        <v/>
      </c>
      <c r="B720" s="12"/>
      <c r="C720" s="4"/>
      <c r="D720" s="11"/>
      <c r="E720" s="2"/>
    </row>
    <row r="721" spans="1:5">
      <c r="A721" s="8" t="str">
        <f t="shared" ca="1" si="12"/>
        <v/>
      </c>
      <c r="B721" s="12"/>
      <c r="C721" s="4"/>
      <c r="D721" s="11"/>
      <c r="E721" s="2"/>
    </row>
    <row r="722" spans="1:5">
      <c r="A722" s="8" t="str">
        <f t="shared" ca="1" si="12"/>
        <v/>
      </c>
      <c r="B722" s="12"/>
      <c r="C722" s="4"/>
      <c r="D722" s="11"/>
      <c r="E722" s="2"/>
    </row>
    <row r="723" spans="1:5">
      <c r="A723" s="8" t="str">
        <f t="shared" ca="1" si="12"/>
        <v/>
      </c>
      <c r="B723" s="12"/>
      <c r="C723" s="4"/>
      <c r="D723" s="11"/>
      <c r="E723" s="2"/>
    </row>
    <row r="724" spans="1:5">
      <c r="A724" s="8" t="str">
        <f t="shared" ca="1" si="12"/>
        <v/>
      </c>
      <c r="B724" s="12"/>
      <c r="C724" s="4"/>
      <c r="D724" s="11"/>
      <c r="E724" s="2"/>
    </row>
    <row r="725" spans="1:5">
      <c r="A725" s="8" t="str">
        <f t="shared" ca="1" si="12"/>
        <v/>
      </c>
      <c r="B725" s="12"/>
      <c r="C725" s="4"/>
      <c r="D725" s="11"/>
      <c r="E725" s="2"/>
    </row>
    <row r="726" spans="1:5">
      <c r="A726" s="8" t="str">
        <f t="shared" ca="1" si="12"/>
        <v/>
      </c>
      <c r="B726" s="12"/>
      <c r="C726" s="4"/>
      <c r="D726" s="11"/>
      <c r="E726" s="2"/>
    </row>
    <row r="727" spans="1:5">
      <c r="A727" s="8" t="str">
        <f t="shared" ca="1" si="12"/>
        <v/>
      </c>
      <c r="B727" s="12"/>
      <c r="C727" s="4"/>
      <c r="D727" s="11"/>
      <c r="E727" s="2"/>
    </row>
    <row r="728" spans="1:5">
      <c r="A728" s="8" t="str">
        <f t="shared" ca="1" si="12"/>
        <v/>
      </c>
      <c r="B728" s="12"/>
      <c r="C728" s="4"/>
      <c r="D728" s="11"/>
      <c r="E728" s="2"/>
    </row>
    <row r="729" spans="1:5">
      <c r="A729" s="8" t="str">
        <f t="shared" ca="1" si="12"/>
        <v/>
      </c>
      <c r="B729" s="12"/>
      <c r="C729" s="4"/>
      <c r="D729" s="11"/>
      <c r="E729" s="2"/>
    </row>
    <row r="730" spans="1:5">
      <c r="A730" s="8" t="str">
        <f t="shared" ca="1" si="12"/>
        <v/>
      </c>
      <c r="B730" s="12"/>
      <c r="C730" s="4"/>
      <c r="D730" s="11"/>
      <c r="E730" s="2"/>
    </row>
    <row r="731" spans="1:5">
      <c r="A731" s="8" t="str">
        <f t="shared" ca="1" si="12"/>
        <v/>
      </c>
      <c r="B731" s="12"/>
      <c r="C731" s="4"/>
      <c r="D731" s="11"/>
      <c r="E731" s="2"/>
    </row>
    <row r="732" spans="1:5">
      <c r="A732" s="8" t="str">
        <f t="shared" ca="1" si="12"/>
        <v/>
      </c>
      <c r="B732" s="12"/>
      <c r="C732" s="4"/>
      <c r="D732" s="11"/>
      <c r="E732" s="2"/>
    </row>
    <row r="733" spans="1:5">
      <c r="A733" s="8" t="str">
        <f t="shared" ca="1" si="12"/>
        <v/>
      </c>
      <c r="B733" s="12"/>
      <c r="C733" s="4"/>
      <c r="D733" s="11"/>
      <c r="E733" s="2"/>
    </row>
    <row r="734" spans="1:5">
      <c r="A734" s="8" t="str">
        <f t="shared" ca="1" si="12"/>
        <v/>
      </c>
      <c r="B734" s="12"/>
      <c r="C734" s="4"/>
      <c r="D734" s="11"/>
      <c r="E734" s="2"/>
    </row>
    <row r="735" spans="1:5">
      <c r="A735" s="8" t="str">
        <f t="shared" ca="1" si="12"/>
        <v/>
      </c>
      <c r="B735" s="12"/>
      <c r="C735" s="4"/>
      <c r="D735" s="11"/>
      <c r="E735" s="2"/>
    </row>
    <row r="736" spans="1:5">
      <c r="A736" s="8" t="str">
        <f t="shared" ca="1" si="12"/>
        <v/>
      </c>
      <c r="B736" s="12"/>
      <c r="C736" s="4"/>
      <c r="D736" s="11"/>
      <c r="E736" s="2"/>
    </row>
    <row r="737" spans="1:5">
      <c r="A737" s="8" t="str">
        <f t="shared" ca="1" si="12"/>
        <v/>
      </c>
      <c r="B737" s="12"/>
      <c r="C737" s="4"/>
      <c r="D737" s="11"/>
      <c r="E737" s="2"/>
    </row>
    <row r="738" spans="1:5">
      <c r="A738" s="8" t="str">
        <f t="shared" ca="1" si="12"/>
        <v/>
      </c>
      <c r="B738" s="12"/>
      <c r="C738" s="4"/>
      <c r="D738" s="11"/>
      <c r="E738" s="2"/>
    </row>
    <row r="739" spans="1:5">
      <c r="A739" s="8" t="str">
        <f t="shared" ca="1" si="12"/>
        <v/>
      </c>
      <c r="B739" s="12"/>
      <c r="C739" s="4"/>
      <c r="D739" s="11"/>
      <c r="E739" s="2"/>
    </row>
    <row r="740" spans="1:5">
      <c r="A740" s="8" t="str">
        <f t="shared" ca="1" si="12"/>
        <v/>
      </c>
      <c r="B740" s="12"/>
      <c r="C740" s="4"/>
      <c r="D740" s="11"/>
      <c r="E740" s="2"/>
    </row>
    <row r="741" spans="1:5">
      <c r="A741" s="8" t="str">
        <f t="shared" ca="1" si="12"/>
        <v/>
      </c>
      <c r="B741" s="12"/>
      <c r="C741" s="4"/>
      <c r="D741" s="11"/>
      <c r="E741" s="2"/>
    </row>
    <row r="742" spans="1:5">
      <c r="A742" s="8" t="str">
        <f t="shared" ca="1" si="12"/>
        <v/>
      </c>
      <c r="B742" s="12"/>
      <c r="C742" s="4"/>
      <c r="D742" s="11"/>
      <c r="E742" s="2"/>
    </row>
    <row r="743" spans="1:5">
      <c r="A743" s="8" t="str">
        <f t="shared" ca="1" si="12"/>
        <v/>
      </c>
      <c r="B743" s="12"/>
      <c r="C743" s="4"/>
      <c r="D743" s="11"/>
      <c r="E743" s="2"/>
    </row>
    <row r="744" spans="1:5">
      <c r="A744" s="8" t="str">
        <f t="shared" ca="1" si="12"/>
        <v/>
      </c>
      <c r="B744" s="12"/>
      <c r="C744" s="4"/>
      <c r="D744" s="11"/>
      <c r="E744" s="2"/>
    </row>
    <row r="745" spans="1:5">
      <c r="A745" s="8" t="str">
        <f t="shared" ca="1" si="12"/>
        <v/>
      </c>
      <c r="B745" s="12"/>
      <c r="C745" s="4"/>
      <c r="D745" s="11"/>
      <c r="E745" s="2"/>
    </row>
    <row r="746" spans="1:5">
      <c r="A746" s="8" t="str">
        <f t="shared" ca="1" si="12"/>
        <v/>
      </c>
      <c r="B746" s="12"/>
      <c r="C746" s="4"/>
      <c r="D746" s="11"/>
      <c r="E746" s="2"/>
    </row>
    <row r="747" spans="1:5">
      <c r="A747" s="8" t="str">
        <f t="shared" ca="1" si="12"/>
        <v/>
      </c>
      <c r="B747" s="12"/>
      <c r="C747" s="4"/>
      <c r="D747" s="11"/>
      <c r="E747" s="2"/>
    </row>
    <row r="748" spans="1:5">
      <c r="A748" s="8" t="str">
        <f t="shared" ca="1" si="12"/>
        <v/>
      </c>
      <c r="B748" s="12"/>
      <c r="C748" s="4"/>
      <c r="D748" s="11"/>
      <c r="E748" s="2"/>
    </row>
    <row r="749" spans="1:5">
      <c r="A749" s="8" t="str">
        <f t="shared" ca="1" si="12"/>
        <v/>
      </c>
      <c r="B749" s="12"/>
      <c r="C749" s="4"/>
      <c r="D749" s="11"/>
      <c r="E749" s="2"/>
    </row>
    <row r="750" spans="1:5">
      <c r="A750" s="8" t="str">
        <f t="shared" ca="1" si="12"/>
        <v/>
      </c>
      <c r="B750" s="12"/>
      <c r="C750" s="4"/>
      <c r="D750" s="11"/>
      <c r="E750" s="2"/>
    </row>
    <row r="751" spans="1:5">
      <c r="A751" s="8" t="str">
        <f t="shared" ca="1" si="12"/>
        <v/>
      </c>
      <c r="B751" s="12"/>
      <c r="C751" s="4"/>
      <c r="D751" s="11"/>
      <c r="E751" s="2"/>
    </row>
    <row r="752" spans="1:5">
      <c r="A752" s="8" t="str">
        <f t="shared" ca="1" si="12"/>
        <v/>
      </c>
      <c r="B752" s="12"/>
      <c r="C752" s="4"/>
      <c r="D752" s="11"/>
      <c r="E752" s="2"/>
    </row>
    <row r="753" spans="1:5">
      <c r="A753" s="8" t="str">
        <f t="shared" ca="1" si="12"/>
        <v/>
      </c>
      <c r="B753" s="12"/>
      <c r="C753" s="4"/>
      <c r="D753" s="11"/>
      <c r="E753" s="2"/>
    </row>
    <row r="754" spans="1:5">
      <c r="A754" s="8" t="str">
        <f t="shared" ca="1" si="12"/>
        <v/>
      </c>
      <c r="B754" s="12"/>
      <c r="C754" s="4"/>
      <c r="D754" s="11"/>
      <c r="E754" s="2"/>
    </row>
    <row r="755" spans="1:5">
      <c r="A755" s="8" t="str">
        <f t="shared" ca="1" si="12"/>
        <v/>
      </c>
      <c r="B755" s="12"/>
      <c r="C755" s="4"/>
      <c r="D755" s="11"/>
      <c r="E755" s="2"/>
    </row>
    <row r="756" spans="1:5">
      <c r="A756" s="8" t="str">
        <f t="shared" ca="1" si="12"/>
        <v/>
      </c>
      <c r="B756" s="12"/>
      <c r="C756" s="4"/>
      <c r="D756" s="11"/>
      <c r="E756" s="2"/>
    </row>
    <row r="757" spans="1:5">
      <c r="A757" s="8" t="str">
        <f t="shared" ca="1" si="12"/>
        <v/>
      </c>
      <c r="B757" s="12"/>
      <c r="C757" s="4"/>
      <c r="D757" s="11"/>
      <c r="E757" s="2"/>
    </row>
    <row r="758" spans="1:5">
      <c r="A758" s="8" t="str">
        <f t="shared" ca="1" si="12"/>
        <v/>
      </c>
      <c r="B758" s="12"/>
      <c r="C758" s="4"/>
      <c r="D758" s="11"/>
      <c r="E758" s="2"/>
    </row>
    <row r="759" spans="1:5">
      <c r="A759" s="8" t="str">
        <f t="shared" ca="1" si="12"/>
        <v/>
      </c>
      <c r="B759" s="12"/>
      <c r="C759" s="4"/>
      <c r="D759" s="11"/>
      <c r="E759" s="2"/>
    </row>
    <row r="760" spans="1:5">
      <c r="A760" s="8" t="str">
        <f t="shared" ca="1" si="12"/>
        <v/>
      </c>
      <c r="B760" s="12"/>
      <c r="C760" s="4"/>
      <c r="D760" s="11"/>
      <c r="E760" s="2"/>
    </row>
    <row r="761" spans="1:5">
      <c r="A761" s="8" t="str">
        <f t="shared" ca="1" si="12"/>
        <v/>
      </c>
      <c r="B761" s="12"/>
      <c r="C761" s="4"/>
      <c r="D761" s="11"/>
      <c r="E761" s="2"/>
    </row>
    <row r="762" spans="1:5">
      <c r="A762" s="8" t="str">
        <f t="shared" ca="1" si="12"/>
        <v/>
      </c>
      <c r="B762" s="12"/>
      <c r="C762" s="4"/>
      <c r="D762" s="11"/>
      <c r="E762" s="2"/>
    </row>
    <row r="763" spans="1:5">
      <c r="A763" s="8" t="str">
        <f t="shared" ca="1" si="12"/>
        <v/>
      </c>
      <c r="B763" s="12"/>
      <c r="C763" s="4"/>
      <c r="D763" s="11"/>
      <c r="E763" s="2"/>
    </row>
    <row r="764" spans="1:5">
      <c r="A764" s="8" t="str">
        <f t="shared" ca="1" si="12"/>
        <v/>
      </c>
      <c r="B764" s="12"/>
      <c r="C764" s="4"/>
      <c r="D764" s="11"/>
      <c r="E764" s="2"/>
    </row>
    <row r="765" spans="1:5">
      <c r="A765" s="8" t="str">
        <f t="shared" ca="1" si="12"/>
        <v/>
      </c>
      <c r="B765" s="12"/>
      <c r="C765" s="4"/>
      <c r="D765" s="11"/>
      <c r="E765" s="2"/>
    </row>
    <row r="766" spans="1:5">
      <c r="A766" s="8" t="str">
        <f t="shared" ca="1" si="12"/>
        <v/>
      </c>
      <c r="B766" s="12"/>
      <c r="C766" s="4"/>
      <c r="D766" s="11"/>
      <c r="E766" s="2"/>
    </row>
    <row r="767" spans="1:5">
      <c r="A767" s="8" t="str">
        <f t="shared" ca="1" si="12"/>
        <v/>
      </c>
      <c r="B767" s="12"/>
      <c r="C767" s="4"/>
      <c r="D767" s="11"/>
      <c r="E767" s="2"/>
    </row>
    <row r="768" spans="1:5">
      <c r="A768" s="8" t="str">
        <f t="shared" ca="1" si="12"/>
        <v/>
      </c>
      <c r="B768" s="12"/>
      <c r="C768" s="4"/>
      <c r="D768" s="11"/>
      <c r="E768" s="2"/>
    </row>
    <row r="769" spans="1:5">
      <c r="A769" s="8" t="str">
        <f t="shared" ca="1" si="12"/>
        <v/>
      </c>
      <c r="B769" s="12"/>
      <c r="C769" s="4"/>
      <c r="D769" s="11"/>
      <c r="E769" s="2"/>
    </row>
    <row r="770" spans="1:5">
      <c r="A770" s="8" t="str">
        <f t="shared" ca="1" si="12"/>
        <v/>
      </c>
      <c r="B770" s="12"/>
      <c r="C770" s="4"/>
      <c r="D770" s="11"/>
      <c r="E770" s="2"/>
    </row>
    <row r="771" spans="1:5">
      <c r="A771" s="8" t="str">
        <f t="shared" ca="1" si="12"/>
        <v/>
      </c>
      <c r="B771" s="12"/>
      <c r="C771" s="4"/>
      <c r="D771" s="11"/>
      <c r="E771" s="2"/>
    </row>
    <row r="772" spans="1:5">
      <c r="A772" s="8" t="str">
        <f t="shared" ca="1" si="12"/>
        <v/>
      </c>
      <c r="B772" s="12"/>
      <c r="C772" s="4"/>
      <c r="D772" s="11"/>
      <c r="E772" s="2"/>
    </row>
    <row r="773" spans="1:5">
      <c r="A773" s="8" t="str">
        <f t="shared" ca="1" si="12"/>
        <v/>
      </c>
      <c r="B773" s="12"/>
      <c r="C773" s="4"/>
      <c r="D773" s="11"/>
      <c r="E773" s="2"/>
    </row>
    <row r="774" spans="1:5">
      <c r="A774" s="8" t="str">
        <f t="shared" ca="1" si="12"/>
        <v/>
      </c>
      <c r="B774" s="12"/>
      <c r="C774" s="4"/>
      <c r="D774" s="11"/>
      <c r="E774" s="2"/>
    </row>
    <row r="775" spans="1:5">
      <c r="A775" s="8" t="str">
        <f t="shared" ca="1" si="12"/>
        <v/>
      </c>
      <c r="B775" s="12"/>
      <c r="C775" s="4"/>
      <c r="D775" s="11"/>
      <c r="E775" s="2"/>
    </row>
    <row r="776" spans="1:5">
      <c r="A776" s="8" t="str">
        <f t="shared" ca="1" si="12"/>
        <v/>
      </c>
      <c r="B776" s="12"/>
      <c r="C776" s="4"/>
      <c r="D776" s="11"/>
      <c r="E776" s="2"/>
    </row>
    <row r="777" spans="1:5">
      <c r="A777" s="8" t="str">
        <f t="shared" ca="1" si="12"/>
        <v/>
      </c>
      <c r="B777" s="12"/>
      <c r="C777" s="4"/>
      <c r="D777" s="11"/>
      <c r="E777" s="2"/>
    </row>
    <row r="778" spans="1:5">
      <c r="A778" s="8" t="str">
        <f t="shared" ref="A778:A841" ca="1" si="13">IF(B778="","",IF(A778="",TODAY(),A778))</f>
        <v/>
      </c>
      <c r="B778" s="12"/>
      <c r="C778" s="4"/>
      <c r="D778" s="11"/>
      <c r="E778" s="2"/>
    </row>
    <row r="779" spans="1:5">
      <c r="A779" s="8" t="str">
        <f t="shared" ca="1" si="13"/>
        <v/>
      </c>
      <c r="B779" s="12"/>
      <c r="C779" s="4"/>
      <c r="D779" s="11"/>
      <c r="E779" s="2"/>
    </row>
    <row r="780" spans="1:5">
      <c r="A780" s="8" t="str">
        <f t="shared" ca="1" si="13"/>
        <v/>
      </c>
      <c r="B780" s="12"/>
      <c r="C780" s="4"/>
      <c r="D780" s="11"/>
      <c r="E780" s="2"/>
    </row>
    <row r="781" spans="1:5">
      <c r="A781" s="8" t="str">
        <f t="shared" ca="1" si="13"/>
        <v/>
      </c>
      <c r="B781" s="12"/>
      <c r="C781" s="4"/>
      <c r="D781" s="11"/>
      <c r="E781" s="2"/>
    </row>
    <row r="782" spans="1:5">
      <c r="A782" s="8" t="str">
        <f t="shared" ca="1" si="13"/>
        <v/>
      </c>
      <c r="B782" s="12"/>
      <c r="C782" s="4"/>
      <c r="D782" s="11"/>
      <c r="E782" s="2"/>
    </row>
    <row r="783" spans="1:5">
      <c r="A783" s="8" t="str">
        <f t="shared" ca="1" si="13"/>
        <v/>
      </c>
      <c r="B783" s="12"/>
      <c r="C783" s="4"/>
      <c r="D783" s="11"/>
      <c r="E783" s="2"/>
    </row>
    <row r="784" spans="1:5">
      <c r="A784" s="8" t="str">
        <f t="shared" ca="1" si="13"/>
        <v/>
      </c>
      <c r="B784" s="12"/>
      <c r="C784" s="4"/>
      <c r="D784" s="11"/>
      <c r="E784" s="2"/>
    </row>
    <row r="785" spans="1:5">
      <c r="A785" s="8" t="str">
        <f t="shared" ca="1" si="13"/>
        <v/>
      </c>
      <c r="B785" s="12"/>
      <c r="C785" s="4"/>
      <c r="D785" s="11"/>
      <c r="E785" s="2"/>
    </row>
    <row r="786" spans="1:5">
      <c r="A786" s="8" t="str">
        <f t="shared" ca="1" si="13"/>
        <v/>
      </c>
      <c r="B786" s="12"/>
      <c r="C786" s="4"/>
      <c r="D786" s="11"/>
      <c r="E786" s="2"/>
    </row>
    <row r="787" spans="1:5">
      <c r="A787" s="8" t="str">
        <f t="shared" ca="1" si="13"/>
        <v/>
      </c>
      <c r="B787" s="12"/>
      <c r="C787" s="4"/>
      <c r="D787" s="11"/>
      <c r="E787" s="2"/>
    </row>
    <row r="788" spans="1:5">
      <c r="A788" s="8" t="str">
        <f t="shared" ca="1" si="13"/>
        <v/>
      </c>
      <c r="B788" s="12"/>
      <c r="C788" s="4"/>
      <c r="D788" s="11"/>
      <c r="E788" s="2"/>
    </row>
    <row r="789" spans="1:5">
      <c r="A789" s="8" t="str">
        <f t="shared" ca="1" si="13"/>
        <v/>
      </c>
      <c r="B789" s="12"/>
      <c r="C789" s="4"/>
      <c r="D789" s="11"/>
      <c r="E789" s="2"/>
    </row>
    <row r="790" spans="1:5">
      <c r="A790" s="8" t="str">
        <f t="shared" ca="1" si="13"/>
        <v/>
      </c>
      <c r="B790" s="12"/>
      <c r="C790" s="4"/>
      <c r="D790" s="11"/>
      <c r="E790" s="2"/>
    </row>
    <row r="791" spans="1:5">
      <c r="A791" s="8" t="str">
        <f t="shared" ca="1" si="13"/>
        <v/>
      </c>
      <c r="B791" s="12"/>
      <c r="C791" s="4"/>
      <c r="D791" s="11"/>
      <c r="E791" s="2"/>
    </row>
    <row r="792" spans="1:5">
      <c r="A792" s="8" t="str">
        <f t="shared" ca="1" si="13"/>
        <v/>
      </c>
      <c r="B792" s="12"/>
      <c r="C792" s="4"/>
      <c r="D792" s="11"/>
      <c r="E792" s="2"/>
    </row>
    <row r="793" spans="1:5">
      <c r="A793" s="8" t="str">
        <f t="shared" ca="1" si="13"/>
        <v/>
      </c>
      <c r="B793" s="12"/>
      <c r="C793" s="4"/>
      <c r="D793" s="11"/>
      <c r="E793" s="2"/>
    </row>
    <row r="794" spans="1:5">
      <c r="A794" s="8" t="str">
        <f t="shared" ca="1" si="13"/>
        <v/>
      </c>
      <c r="B794" s="12"/>
      <c r="C794" s="4"/>
      <c r="D794" s="11"/>
      <c r="E794" s="2"/>
    </row>
    <row r="795" spans="1:5">
      <c r="A795" s="8" t="str">
        <f t="shared" ca="1" si="13"/>
        <v/>
      </c>
      <c r="B795" s="12"/>
      <c r="C795" s="4"/>
      <c r="D795" s="11"/>
      <c r="E795" s="2"/>
    </row>
    <row r="796" spans="1:5">
      <c r="A796" s="8" t="str">
        <f t="shared" ca="1" si="13"/>
        <v/>
      </c>
      <c r="B796" s="12"/>
      <c r="C796" s="4"/>
      <c r="D796" s="11"/>
      <c r="E796" s="2"/>
    </row>
    <row r="797" spans="1:5">
      <c r="A797" s="8" t="str">
        <f t="shared" ca="1" si="13"/>
        <v/>
      </c>
      <c r="B797" s="12"/>
      <c r="C797" s="4"/>
      <c r="D797" s="11"/>
      <c r="E797" s="2"/>
    </row>
    <row r="798" spans="1:5">
      <c r="A798" s="8" t="str">
        <f t="shared" ca="1" si="13"/>
        <v/>
      </c>
      <c r="B798" s="12"/>
      <c r="C798" s="4"/>
      <c r="D798" s="11"/>
      <c r="E798" s="2"/>
    </row>
    <row r="799" spans="1:5">
      <c r="A799" s="8" t="str">
        <f t="shared" ca="1" si="13"/>
        <v/>
      </c>
      <c r="B799" s="12"/>
      <c r="C799" s="4"/>
      <c r="D799" s="11"/>
      <c r="E799" s="2"/>
    </row>
    <row r="800" spans="1:5">
      <c r="A800" s="8" t="str">
        <f t="shared" ca="1" si="13"/>
        <v/>
      </c>
      <c r="B800" s="12"/>
      <c r="C800" s="4"/>
      <c r="D800" s="11"/>
      <c r="E800" s="2"/>
    </row>
    <row r="801" spans="1:5">
      <c r="A801" s="8" t="str">
        <f t="shared" ca="1" si="13"/>
        <v/>
      </c>
      <c r="B801" s="12"/>
      <c r="C801" s="4"/>
      <c r="D801" s="11"/>
      <c r="E801" s="2"/>
    </row>
    <row r="802" spans="1:5">
      <c r="A802" s="8" t="str">
        <f t="shared" ca="1" si="13"/>
        <v/>
      </c>
      <c r="B802" s="12"/>
      <c r="C802" s="4"/>
      <c r="D802" s="11"/>
      <c r="E802" s="2"/>
    </row>
    <row r="803" spans="1:5">
      <c r="A803" s="8" t="str">
        <f t="shared" ca="1" si="13"/>
        <v/>
      </c>
      <c r="B803" s="12"/>
      <c r="C803" s="4"/>
      <c r="D803" s="11"/>
      <c r="E803" s="2"/>
    </row>
    <row r="804" spans="1:5">
      <c r="A804" s="8" t="str">
        <f t="shared" ca="1" si="13"/>
        <v/>
      </c>
      <c r="B804" s="12"/>
      <c r="C804" s="4"/>
      <c r="D804" s="11"/>
      <c r="E804" s="2"/>
    </row>
    <row r="805" spans="1:5">
      <c r="A805" s="8" t="str">
        <f t="shared" ca="1" si="13"/>
        <v/>
      </c>
      <c r="B805" s="12"/>
      <c r="C805" s="4"/>
      <c r="D805" s="11"/>
      <c r="E805" s="2"/>
    </row>
    <row r="806" spans="1:5">
      <c r="A806" s="8" t="str">
        <f t="shared" ca="1" si="13"/>
        <v/>
      </c>
      <c r="B806" s="12"/>
      <c r="C806" s="4"/>
      <c r="D806" s="11"/>
      <c r="E806" s="2"/>
    </row>
    <row r="807" spans="1:5">
      <c r="A807" s="8" t="str">
        <f t="shared" ca="1" si="13"/>
        <v/>
      </c>
      <c r="B807" s="12"/>
      <c r="C807" s="4"/>
      <c r="D807" s="11"/>
      <c r="E807" s="2"/>
    </row>
    <row r="808" spans="1:5">
      <c r="A808" s="8" t="str">
        <f t="shared" ca="1" si="13"/>
        <v/>
      </c>
      <c r="B808" s="12"/>
      <c r="C808" s="4"/>
      <c r="D808" s="11"/>
      <c r="E808" s="2"/>
    </row>
    <row r="809" spans="1:5">
      <c r="A809" s="8" t="str">
        <f t="shared" ca="1" si="13"/>
        <v/>
      </c>
      <c r="B809" s="12"/>
      <c r="C809" s="4"/>
      <c r="D809" s="11"/>
      <c r="E809" s="2"/>
    </row>
    <row r="810" spans="1:5">
      <c r="A810" s="8" t="str">
        <f t="shared" ca="1" si="13"/>
        <v/>
      </c>
      <c r="B810" s="12"/>
      <c r="C810" s="4"/>
      <c r="D810" s="11"/>
      <c r="E810" s="2"/>
    </row>
    <row r="811" spans="1:5">
      <c r="A811" s="8" t="str">
        <f t="shared" ca="1" si="13"/>
        <v/>
      </c>
      <c r="B811" s="12"/>
      <c r="C811" s="4"/>
      <c r="D811" s="11"/>
      <c r="E811" s="2"/>
    </row>
    <row r="812" spans="1:5">
      <c r="A812" s="8" t="str">
        <f t="shared" ca="1" si="13"/>
        <v/>
      </c>
      <c r="B812" s="12"/>
      <c r="C812" s="4"/>
      <c r="D812" s="11"/>
      <c r="E812" s="2"/>
    </row>
    <row r="813" spans="1:5">
      <c r="A813" s="8" t="str">
        <f t="shared" ca="1" si="13"/>
        <v/>
      </c>
      <c r="B813" s="12"/>
      <c r="C813" s="4"/>
      <c r="D813" s="11"/>
      <c r="E813" s="2"/>
    </row>
    <row r="814" spans="1:5">
      <c r="A814" s="8" t="str">
        <f t="shared" ca="1" si="13"/>
        <v/>
      </c>
      <c r="B814" s="12"/>
      <c r="C814" s="4"/>
      <c r="D814" s="11"/>
      <c r="E814" s="2"/>
    </row>
    <row r="815" spans="1:5">
      <c r="A815" s="8" t="str">
        <f t="shared" ca="1" si="13"/>
        <v/>
      </c>
      <c r="B815" s="12"/>
      <c r="C815" s="4"/>
      <c r="D815" s="11"/>
      <c r="E815" s="2"/>
    </row>
    <row r="816" spans="1:5">
      <c r="A816" s="8" t="str">
        <f t="shared" ca="1" si="13"/>
        <v/>
      </c>
      <c r="B816" s="12"/>
      <c r="C816" s="4"/>
      <c r="D816" s="11"/>
      <c r="E816" s="2"/>
    </row>
    <row r="817" spans="1:5">
      <c r="A817" s="8" t="str">
        <f t="shared" ca="1" si="13"/>
        <v/>
      </c>
      <c r="B817" s="12"/>
      <c r="C817" s="4"/>
      <c r="D817" s="11"/>
      <c r="E817" s="2"/>
    </row>
    <row r="818" spans="1:5">
      <c r="A818" s="8" t="str">
        <f t="shared" ca="1" si="13"/>
        <v/>
      </c>
      <c r="B818" s="12"/>
      <c r="C818" s="4"/>
      <c r="D818" s="11"/>
      <c r="E818" s="2"/>
    </row>
    <row r="819" spans="1:5">
      <c r="A819" s="8" t="str">
        <f t="shared" ca="1" si="13"/>
        <v/>
      </c>
      <c r="B819" s="12"/>
      <c r="C819" s="4"/>
      <c r="D819" s="11"/>
      <c r="E819" s="2"/>
    </row>
    <row r="820" spans="1:5">
      <c r="A820" s="8" t="str">
        <f t="shared" ca="1" si="13"/>
        <v/>
      </c>
      <c r="B820" s="12"/>
      <c r="C820" s="4"/>
      <c r="D820" s="11"/>
      <c r="E820" s="2"/>
    </row>
    <row r="821" spans="1:5">
      <c r="A821" s="8" t="str">
        <f t="shared" ca="1" si="13"/>
        <v/>
      </c>
      <c r="B821" s="12"/>
      <c r="C821" s="4"/>
      <c r="D821" s="11"/>
      <c r="E821" s="2"/>
    </row>
    <row r="822" spans="1:5">
      <c r="A822" s="8" t="str">
        <f t="shared" ca="1" si="13"/>
        <v/>
      </c>
      <c r="B822" s="12"/>
      <c r="C822" s="4"/>
      <c r="D822" s="11"/>
      <c r="E822" s="2"/>
    </row>
    <row r="823" spans="1:5">
      <c r="A823" s="8" t="str">
        <f t="shared" ca="1" si="13"/>
        <v/>
      </c>
      <c r="B823" s="12"/>
      <c r="C823" s="4"/>
      <c r="D823" s="11"/>
      <c r="E823" s="2"/>
    </row>
    <row r="824" spans="1:5">
      <c r="A824" s="8" t="str">
        <f t="shared" ca="1" si="13"/>
        <v/>
      </c>
      <c r="B824" s="12"/>
      <c r="C824" s="4"/>
      <c r="D824" s="11"/>
      <c r="E824" s="2"/>
    </row>
    <row r="825" spans="1:5">
      <c r="A825" s="8" t="str">
        <f t="shared" ca="1" si="13"/>
        <v/>
      </c>
      <c r="B825" s="12"/>
      <c r="C825" s="4"/>
      <c r="D825" s="11"/>
      <c r="E825" s="2"/>
    </row>
    <row r="826" spans="1:5">
      <c r="A826" s="8" t="str">
        <f t="shared" ca="1" si="13"/>
        <v/>
      </c>
      <c r="B826" s="12"/>
      <c r="C826" s="4"/>
      <c r="D826" s="11"/>
      <c r="E826" s="2"/>
    </row>
    <row r="827" spans="1:5">
      <c r="A827" s="8" t="str">
        <f t="shared" ca="1" si="13"/>
        <v/>
      </c>
      <c r="B827" s="12"/>
      <c r="C827" s="4"/>
      <c r="D827" s="11"/>
      <c r="E827" s="2"/>
    </row>
    <row r="828" spans="1:5">
      <c r="A828" s="8" t="str">
        <f t="shared" ca="1" si="13"/>
        <v/>
      </c>
      <c r="B828" s="12"/>
      <c r="C828" s="4"/>
      <c r="D828" s="11"/>
      <c r="E828" s="2"/>
    </row>
    <row r="829" spans="1:5">
      <c r="A829" s="8" t="str">
        <f t="shared" ca="1" si="13"/>
        <v/>
      </c>
      <c r="B829" s="12"/>
      <c r="C829" s="4"/>
      <c r="D829" s="11"/>
      <c r="E829" s="2"/>
    </row>
    <row r="830" spans="1:5">
      <c r="A830" s="8" t="str">
        <f t="shared" ca="1" si="13"/>
        <v/>
      </c>
      <c r="B830" s="12"/>
      <c r="C830" s="4"/>
      <c r="D830" s="11"/>
      <c r="E830" s="2"/>
    </row>
    <row r="831" spans="1:5">
      <c r="A831" s="8" t="str">
        <f t="shared" ca="1" si="13"/>
        <v/>
      </c>
      <c r="B831" s="12"/>
      <c r="C831" s="4"/>
      <c r="D831" s="11"/>
      <c r="E831" s="2"/>
    </row>
    <row r="832" spans="1:5">
      <c r="A832" s="8" t="str">
        <f t="shared" ca="1" si="13"/>
        <v/>
      </c>
      <c r="B832" s="12"/>
      <c r="C832" s="4"/>
      <c r="D832" s="11"/>
      <c r="E832" s="2"/>
    </row>
    <row r="833" spans="1:5">
      <c r="A833" s="8" t="str">
        <f t="shared" ca="1" si="13"/>
        <v/>
      </c>
      <c r="B833" s="12"/>
      <c r="C833" s="4"/>
      <c r="D833" s="11"/>
      <c r="E833" s="2"/>
    </row>
    <row r="834" spans="1:5">
      <c r="A834" s="8" t="str">
        <f t="shared" ca="1" si="13"/>
        <v/>
      </c>
      <c r="B834" s="12"/>
      <c r="C834" s="4"/>
      <c r="D834" s="11"/>
      <c r="E834" s="2"/>
    </row>
    <row r="835" spans="1:5">
      <c r="A835" s="8" t="str">
        <f t="shared" ca="1" si="13"/>
        <v/>
      </c>
      <c r="B835" s="12"/>
      <c r="C835" s="4"/>
      <c r="D835" s="11"/>
      <c r="E835" s="2"/>
    </row>
    <row r="836" spans="1:5">
      <c r="A836" s="8" t="str">
        <f t="shared" ca="1" si="13"/>
        <v/>
      </c>
      <c r="B836" s="12"/>
      <c r="C836" s="4"/>
      <c r="D836" s="11"/>
      <c r="E836" s="2"/>
    </row>
    <row r="837" spans="1:5">
      <c r="A837" s="8" t="str">
        <f t="shared" ca="1" si="13"/>
        <v/>
      </c>
      <c r="B837" s="12"/>
      <c r="C837" s="4"/>
      <c r="D837" s="11"/>
      <c r="E837" s="2"/>
    </row>
    <row r="838" spans="1:5">
      <c r="A838" s="8" t="str">
        <f t="shared" ca="1" si="13"/>
        <v/>
      </c>
      <c r="B838" s="12"/>
      <c r="C838" s="4"/>
      <c r="D838" s="11"/>
      <c r="E838" s="2"/>
    </row>
    <row r="839" spans="1:5">
      <c r="A839" s="8" t="str">
        <f t="shared" ca="1" si="13"/>
        <v/>
      </c>
      <c r="B839" s="12"/>
      <c r="C839" s="4"/>
      <c r="D839" s="11"/>
      <c r="E839" s="2"/>
    </row>
    <row r="840" spans="1:5">
      <c r="A840" s="8" t="str">
        <f t="shared" ca="1" si="13"/>
        <v/>
      </c>
      <c r="B840" s="12"/>
      <c r="C840" s="4"/>
      <c r="D840" s="11"/>
      <c r="E840" s="2"/>
    </row>
    <row r="841" spans="1:5">
      <c r="A841" s="8" t="str">
        <f t="shared" ca="1" si="13"/>
        <v/>
      </c>
      <c r="B841" s="12"/>
      <c r="C841" s="4"/>
      <c r="D841" s="11"/>
      <c r="E841" s="2"/>
    </row>
    <row r="842" spans="1:5">
      <c r="A842" s="8" t="str">
        <f t="shared" ref="A842:A905" ca="1" si="14">IF(B842="","",IF(A842="",TODAY(),A842))</f>
        <v/>
      </c>
      <c r="B842" s="12"/>
      <c r="C842" s="4"/>
      <c r="D842" s="11"/>
      <c r="E842" s="2"/>
    </row>
    <row r="843" spans="1:5">
      <c r="A843" s="8" t="str">
        <f t="shared" ca="1" si="14"/>
        <v/>
      </c>
      <c r="B843" s="12"/>
      <c r="C843" s="4"/>
      <c r="D843" s="11"/>
      <c r="E843" s="2"/>
    </row>
    <row r="844" spans="1:5">
      <c r="A844" s="8" t="str">
        <f t="shared" ca="1" si="14"/>
        <v/>
      </c>
      <c r="B844" s="12"/>
      <c r="C844" s="4"/>
      <c r="D844" s="11"/>
      <c r="E844" s="2"/>
    </row>
    <row r="845" spans="1:5">
      <c r="A845" s="8" t="str">
        <f t="shared" ca="1" si="14"/>
        <v/>
      </c>
      <c r="B845" s="12"/>
      <c r="C845" s="4"/>
      <c r="D845" s="11"/>
      <c r="E845" s="2"/>
    </row>
    <row r="846" spans="1:5">
      <c r="A846" s="8" t="str">
        <f t="shared" ca="1" si="14"/>
        <v/>
      </c>
      <c r="B846" s="12"/>
      <c r="C846" s="4"/>
      <c r="D846" s="11"/>
      <c r="E846" s="2"/>
    </row>
    <row r="847" spans="1:5">
      <c r="A847" s="8" t="str">
        <f t="shared" ca="1" si="14"/>
        <v/>
      </c>
      <c r="B847" s="12"/>
      <c r="C847" s="4"/>
      <c r="D847" s="11"/>
      <c r="E847" s="2"/>
    </row>
    <row r="848" spans="1:5">
      <c r="A848" s="8" t="str">
        <f t="shared" ca="1" si="14"/>
        <v/>
      </c>
      <c r="B848" s="12"/>
      <c r="C848" s="4"/>
      <c r="D848" s="11"/>
      <c r="E848" s="2"/>
    </row>
    <row r="849" spans="1:5">
      <c r="A849" s="8" t="str">
        <f t="shared" ca="1" si="14"/>
        <v/>
      </c>
      <c r="B849" s="12"/>
      <c r="C849" s="4"/>
      <c r="D849" s="11"/>
      <c r="E849" s="2"/>
    </row>
    <row r="850" spans="1:5">
      <c r="A850" s="8" t="str">
        <f t="shared" ca="1" si="14"/>
        <v/>
      </c>
      <c r="B850" s="12"/>
      <c r="C850" s="4"/>
      <c r="D850" s="11"/>
      <c r="E850" s="2"/>
    </row>
    <row r="851" spans="1:5">
      <c r="A851" s="8" t="str">
        <f t="shared" ca="1" si="14"/>
        <v/>
      </c>
      <c r="B851" s="12"/>
      <c r="C851" s="4"/>
      <c r="D851" s="11"/>
      <c r="E851" s="2"/>
    </row>
    <row r="852" spans="1:5">
      <c r="A852" s="8" t="str">
        <f t="shared" ca="1" si="14"/>
        <v/>
      </c>
      <c r="B852" s="12"/>
      <c r="C852" s="4"/>
      <c r="D852" s="11"/>
      <c r="E852" s="2"/>
    </row>
    <row r="853" spans="1:5">
      <c r="A853" s="8" t="str">
        <f t="shared" ca="1" si="14"/>
        <v/>
      </c>
      <c r="B853" s="12"/>
      <c r="C853" s="4"/>
      <c r="D853" s="11"/>
      <c r="E853" s="2"/>
    </row>
    <row r="854" spans="1:5">
      <c r="A854" s="8" t="str">
        <f t="shared" ca="1" si="14"/>
        <v/>
      </c>
      <c r="B854" s="12"/>
      <c r="C854" s="4"/>
      <c r="D854" s="11"/>
      <c r="E854" s="2"/>
    </row>
    <row r="855" spans="1:5">
      <c r="A855" s="8" t="str">
        <f t="shared" ca="1" si="14"/>
        <v/>
      </c>
      <c r="B855" s="12"/>
      <c r="C855" s="4"/>
      <c r="D855" s="11"/>
      <c r="E855" s="2"/>
    </row>
    <row r="856" spans="1:5">
      <c r="A856" s="8" t="str">
        <f t="shared" ca="1" si="14"/>
        <v/>
      </c>
      <c r="B856" s="12"/>
      <c r="C856" s="4"/>
      <c r="D856" s="11"/>
      <c r="E856" s="2"/>
    </row>
    <row r="857" spans="1:5">
      <c r="A857" s="8" t="str">
        <f t="shared" ca="1" si="14"/>
        <v/>
      </c>
      <c r="B857" s="12"/>
      <c r="C857" s="4"/>
      <c r="D857" s="11"/>
      <c r="E857" s="2"/>
    </row>
    <row r="858" spans="1:5">
      <c r="A858" s="8" t="str">
        <f t="shared" ca="1" si="14"/>
        <v/>
      </c>
      <c r="B858" s="12"/>
      <c r="C858" s="4"/>
      <c r="D858" s="11"/>
      <c r="E858" s="2"/>
    </row>
    <row r="859" spans="1:5">
      <c r="A859" s="8" t="str">
        <f t="shared" ca="1" si="14"/>
        <v/>
      </c>
      <c r="B859" s="12"/>
      <c r="C859" s="4"/>
      <c r="D859" s="11"/>
      <c r="E859" s="2"/>
    </row>
    <row r="860" spans="1:5">
      <c r="A860" s="8" t="str">
        <f t="shared" ca="1" si="14"/>
        <v/>
      </c>
      <c r="B860" s="12"/>
      <c r="C860" s="4"/>
      <c r="D860" s="11"/>
      <c r="E860" s="2"/>
    </row>
    <row r="861" spans="1:5">
      <c r="A861" s="8" t="str">
        <f t="shared" ca="1" si="14"/>
        <v/>
      </c>
      <c r="B861" s="12"/>
      <c r="C861" s="4"/>
      <c r="D861" s="11"/>
      <c r="E861" s="2"/>
    </row>
    <row r="862" spans="1:5">
      <c r="A862" s="8" t="str">
        <f t="shared" ca="1" si="14"/>
        <v/>
      </c>
      <c r="B862" s="12"/>
      <c r="C862" s="4"/>
      <c r="D862" s="11"/>
      <c r="E862" s="2"/>
    </row>
    <row r="863" spans="1:5">
      <c r="A863" s="8" t="str">
        <f t="shared" ca="1" si="14"/>
        <v/>
      </c>
      <c r="B863" s="12"/>
      <c r="C863" s="4"/>
      <c r="D863" s="11"/>
      <c r="E863" s="2"/>
    </row>
    <row r="864" spans="1:5">
      <c r="A864" s="8" t="str">
        <f t="shared" ca="1" si="14"/>
        <v/>
      </c>
      <c r="B864" s="12"/>
      <c r="C864" s="4"/>
      <c r="D864" s="11"/>
      <c r="E864" s="2"/>
    </row>
    <row r="865" spans="1:5">
      <c r="A865" s="8" t="str">
        <f t="shared" ca="1" si="14"/>
        <v/>
      </c>
      <c r="B865" s="12"/>
      <c r="C865" s="4"/>
      <c r="D865" s="11"/>
      <c r="E865" s="2"/>
    </row>
    <row r="866" spans="1:5">
      <c r="A866" s="8" t="str">
        <f t="shared" ca="1" si="14"/>
        <v/>
      </c>
      <c r="B866" s="12"/>
      <c r="C866" s="4"/>
      <c r="D866" s="11"/>
      <c r="E866" s="2"/>
    </row>
    <row r="867" spans="1:5">
      <c r="A867" s="8" t="str">
        <f t="shared" ca="1" si="14"/>
        <v/>
      </c>
      <c r="B867" s="12"/>
      <c r="C867" s="4"/>
      <c r="D867" s="11"/>
      <c r="E867" s="2"/>
    </row>
    <row r="868" spans="1:5">
      <c r="A868" s="8" t="str">
        <f t="shared" ca="1" si="14"/>
        <v/>
      </c>
      <c r="B868" s="12"/>
      <c r="C868" s="4"/>
      <c r="D868" s="11"/>
      <c r="E868" s="2"/>
    </row>
    <row r="869" spans="1:5">
      <c r="A869" s="8" t="str">
        <f t="shared" ca="1" si="14"/>
        <v/>
      </c>
      <c r="B869" s="12"/>
      <c r="C869" s="4"/>
      <c r="D869" s="11"/>
      <c r="E869" s="2"/>
    </row>
    <row r="870" spans="1:5">
      <c r="A870" s="8" t="str">
        <f t="shared" ca="1" si="14"/>
        <v/>
      </c>
      <c r="B870" s="12"/>
      <c r="C870" s="4"/>
      <c r="D870" s="11"/>
      <c r="E870" s="2"/>
    </row>
    <row r="871" spans="1:5">
      <c r="A871" s="8" t="str">
        <f t="shared" ca="1" si="14"/>
        <v/>
      </c>
      <c r="B871" s="12"/>
      <c r="C871" s="4"/>
      <c r="D871" s="11"/>
      <c r="E871" s="2"/>
    </row>
    <row r="872" spans="1:5">
      <c r="A872" s="8" t="str">
        <f t="shared" ca="1" si="14"/>
        <v/>
      </c>
      <c r="B872" s="12"/>
      <c r="C872" s="4"/>
      <c r="D872" s="11"/>
      <c r="E872" s="2"/>
    </row>
    <row r="873" spans="1:5">
      <c r="A873" s="8" t="str">
        <f t="shared" ca="1" si="14"/>
        <v/>
      </c>
      <c r="B873" s="12"/>
      <c r="C873" s="4"/>
      <c r="D873" s="11"/>
      <c r="E873" s="2"/>
    </row>
    <row r="874" spans="1:5">
      <c r="A874" s="8" t="str">
        <f t="shared" ca="1" si="14"/>
        <v/>
      </c>
      <c r="B874" s="12"/>
      <c r="C874" s="4"/>
      <c r="D874" s="11"/>
      <c r="E874" s="2"/>
    </row>
    <row r="875" spans="1:5">
      <c r="A875" s="8" t="str">
        <f t="shared" ca="1" si="14"/>
        <v/>
      </c>
      <c r="B875" s="12"/>
      <c r="C875" s="4"/>
      <c r="D875" s="11"/>
      <c r="E875" s="2"/>
    </row>
    <row r="876" spans="1:5">
      <c r="A876" s="8" t="str">
        <f t="shared" ca="1" si="14"/>
        <v/>
      </c>
      <c r="B876" s="12"/>
      <c r="C876" s="4"/>
      <c r="D876" s="11"/>
      <c r="E876" s="2"/>
    </row>
    <row r="877" spans="1:5">
      <c r="A877" s="8" t="str">
        <f t="shared" ca="1" si="14"/>
        <v/>
      </c>
      <c r="B877" s="12"/>
      <c r="C877" s="4"/>
      <c r="D877" s="11"/>
      <c r="E877" s="2"/>
    </row>
    <row r="878" spans="1:5">
      <c r="A878" s="8" t="str">
        <f t="shared" ca="1" si="14"/>
        <v/>
      </c>
      <c r="B878" s="12"/>
      <c r="C878" s="4"/>
      <c r="D878" s="11"/>
      <c r="E878" s="2"/>
    </row>
    <row r="879" spans="1:5">
      <c r="A879" s="8" t="str">
        <f t="shared" ca="1" si="14"/>
        <v/>
      </c>
      <c r="B879" s="12"/>
      <c r="C879" s="4"/>
      <c r="D879" s="11"/>
      <c r="E879" s="2"/>
    </row>
    <row r="880" spans="1:5">
      <c r="A880" s="8" t="str">
        <f t="shared" ca="1" si="14"/>
        <v/>
      </c>
      <c r="B880" s="12"/>
      <c r="C880" s="4"/>
      <c r="D880" s="11"/>
      <c r="E880" s="2"/>
    </row>
    <row r="881" spans="1:5">
      <c r="A881" s="8" t="str">
        <f t="shared" ca="1" si="14"/>
        <v/>
      </c>
      <c r="B881" s="12"/>
      <c r="C881" s="4"/>
      <c r="D881" s="11"/>
      <c r="E881" s="2"/>
    </row>
    <row r="882" spans="1:5">
      <c r="A882" s="8" t="str">
        <f t="shared" ca="1" si="14"/>
        <v/>
      </c>
      <c r="B882" s="12"/>
      <c r="C882" s="4"/>
      <c r="D882" s="11"/>
      <c r="E882" s="2"/>
    </row>
    <row r="883" spans="1:5">
      <c r="A883" s="8" t="str">
        <f t="shared" ca="1" si="14"/>
        <v/>
      </c>
      <c r="B883" s="12"/>
      <c r="C883" s="4"/>
      <c r="D883" s="11"/>
      <c r="E883" s="2"/>
    </row>
    <row r="884" spans="1:5">
      <c r="A884" s="8" t="str">
        <f t="shared" ca="1" si="14"/>
        <v/>
      </c>
      <c r="B884" s="12"/>
      <c r="C884" s="4"/>
      <c r="D884" s="11"/>
      <c r="E884" s="2"/>
    </row>
    <row r="885" spans="1:5">
      <c r="A885" s="8" t="str">
        <f t="shared" ca="1" si="14"/>
        <v/>
      </c>
      <c r="B885" s="12"/>
      <c r="C885" s="4"/>
      <c r="D885" s="11"/>
      <c r="E885" s="2"/>
    </row>
    <row r="886" spans="1:5">
      <c r="A886" s="8" t="str">
        <f t="shared" ca="1" si="14"/>
        <v/>
      </c>
      <c r="B886" s="12"/>
      <c r="C886" s="4"/>
      <c r="D886" s="11"/>
      <c r="E886" s="2"/>
    </row>
    <row r="887" spans="1:5">
      <c r="A887" s="8" t="str">
        <f t="shared" ca="1" si="14"/>
        <v/>
      </c>
      <c r="B887" s="12"/>
      <c r="C887" s="4"/>
      <c r="D887" s="11"/>
      <c r="E887" s="2"/>
    </row>
    <row r="888" spans="1:5">
      <c r="A888" s="8" t="str">
        <f t="shared" ca="1" si="14"/>
        <v/>
      </c>
      <c r="B888" s="12"/>
      <c r="C888" s="4"/>
      <c r="D888" s="11"/>
      <c r="E888" s="2"/>
    </row>
    <row r="889" spans="1:5">
      <c r="A889" s="8" t="str">
        <f t="shared" ca="1" si="14"/>
        <v/>
      </c>
      <c r="B889" s="12"/>
      <c r="C889" s="4"/>
      <c r="D889" s="11"/>
      <c r="E889" s="2"/>
    </row>
    <row r="890" spans="1:5">
      <c r="A890" s="8" t="str">
        <f t="shared" ca="1" si="14"/>
        <v/>
      </c>
      <c r="B890" s="12"/>
      <c r="C890" s="4"/>
      <c r="D890" s="11"/>
      <c r="E890" s="2"/>
    </row>
    <row r="891" spans="1:5">
      <c r="A891" s="8" t="str">
        <f t="shared" ca="1" si="14"/>
        <v/>
      </c>
      <c r="B891" s="12"/>
      <c r="C891" s="4"/>
      <c r="D891" s="11"/>
      <c r="E891" s="2"/>
    </row>
    <row r="892" spans="1:5">
      <c r="A892" s="8" t="str">
        <f t="shared" ca="1" si="14"/>
        <v/>
      </c>
      <c r="B892" s="12"/>
      <c r="C892" s="4"/>
      <c r="D892" s="11"/>
      <c r="E892" s="2"/>
    </row>
    <row r="893" spans="1:5">
      <c r="A893" s="8" t="str">
        <f t="shared" ca="1" si="14"/>
        <v/>
      </c>
      <c r="B893" s="12"/>
      <c r="C893" s="4"/>
      <c r="D893" s="11"/>
      <c r="E893" s="2"/>
    </row>
    <row r="894" spans="1:5">
      <c r="A894" s="8" t="str">
        <f t="shared" ca="1" si="14"/>
        <v/>
      </c>
      <c r="B894" s="12"/>
      <c r="C894" s="4"/>
      <c r="D894" s="11"/>
      <c r="E894" s="2"/>
    </row>
    <row r="895" spans="1:5">
      <c r="A895" s="8" t="str">
        <f t="shared" ca="1" si="14"/>
        <v/>
      </c>
      <c r="B895" s="12"/>
      <c r="C895" s="4"/>
      <c r="D895" s="11"/>
      <c r="E895" s="2"/>
    </row>
    <row r="896" spans="1:5">
      <c r="A896" s="8" t="str">
        <f t="shared" ca="1" si="14"/>
        <v/>
      </c>
      <c r="B896" s="12"/>
      <c r="C896" s="4"/>
      <c r="D896" s="11"/>
      <c r="E896" s="2"/>
    </row>
    <row r="897" spans="1:5">
      <c r="A897" s="8" t="str">
        <f t="shared" ca="1" si="14"/>
        <v/>
      </c>
      <c r="B897" s="12"/>
      <c r="C897" s="4"/>
      <c r="D897" s="11"/>
      <c r="E897" s="2"/>
    </row>
    <row r="898" spans="1:5">
      <c r="A898" s="8" t="str">
        <f t="shared" ca="1" si="14"/>
        <v/>
      </c>
      <c r="B898" s="12"/>
      <c r="C898" s="4"/>
      <c r="D898" s="11"/>
      <c r="E898" s="2"/>
    </row>
    <row r="899" spans="1:5">
      <c r="A899" s="8" t="str">
        <f t="shared" ca="1" si="14"/>
        <v/>
      </c>
      <c r="B899" s="12"/>
      <c r="C899" s="4"/>
      <c r="D899" s="11"/>
      <c r="E899" s="2"/>
    </row>
    <row r="900" spans="1:5">
      <c r="A900" s="8" t="str">
        <f t="shared" ca="1" si="14"/>
        <v/>
      </c>
      <c r="B900" s="12"/>
      <c r="C900" s="4"/>
      <c r="D900" s="11"/>
      <c r="E900" s="2"/>
    </row>
    <row r="901" spans="1:5">
      <c r="A901" s="8" t="str">
        <f t="shared" ca="1" si="14"/>
        <v/>
      </c>
      <c r="B901" s="12"/>
      <c r="C901" s="4"/>
      <c r="D901" s="11"/>
      <c r="E901" s="2"/>
    </row>
    <row r="902" spans="1:5">
      <c r="A902" s="8" t="str">
        <f t="shared" ca="1" si="14"/>
        <v/>
      </c>
      <c r="B902" s="12"/>
      <c r="C902" s="4"/>
      <c r="D902" s="11"/>
      <c r="E902" s="2"/>
    </row>
    <row r="903" spans="1:5">
      <c r="A903" s="8" t="str">
        <f t="shared" ca="1" si="14"/>
        <v/>
      </c>
      <c r="B903" s="12"/>
      <c r="C903" s="4"/>
      <c r="D903" s="11"/>
      <c r="E903" s="2"/>
    </row>
    <row r="904" spans="1:5">
      <c r="A904" s="8" t="str">
        <f t="shared" ca="1" si="14"/>
        <v/>
      </c>
      <c r="B904" s="12"/>
      <c r="C904" s="4"/>
      <c r="D904" s="11"/>
      <c r="E904" s="2"/>
    </row>
    <row r="905" spans="1:5">
      <c r="A905" s="8" t="str">
        <f t="shared" ca="1" si="14"/>
        <v/>
      </c>
      <c r="B905" s="12"/>
      <c r="C905" s="4"/>
      <c r="D905" s="11"/>
      <c r="E905" s="2"/>
    </row>
    <row r="906" spans="1:5">
      <c r="A906" s="8" t="str">
        <f t="shared" ref="A906:A969" ca="1" si="15">IF(B906="","",IF(A906="",TODAY(),A906))</f>
        <v/>
      </c>
      <c r="B906" s="12"/>
      <c r="C906" s="4"/>
      <c r="D906" s="11"/>
      <c r="E906" s="2"/>
    </row>
    <row r="907" spans="1:5">
      <c r="A907" s="8" t="str">
        <f t="shared" ca="1" si="15"/>
        <v/>
      </c>
      <c r="B907" s="12"/>
      <c r="C907" s="4"/>
      <c r="D907" s="11"/>
      <c r="E907" s="2"/>
    </row>
    <row r="908" spans="1:5">
      <c r="A908" s="8" t="str">
        <f t="shared" ca="1" si="15"/>
        <v/>
      </c>
      <c r="B908" s="12"/>
      <c r="C908" s="4"/>
      <c r="D908" s="11"/>
      <c r="E908" s="2"/>
    </row>
    <row r="909" spans="1:5">
      <c r="A909" s="8" t="str">
        <f t="shared" ca="1" si="15"/>
        <v/>
      </c>
      <c r="B909" s="12"/>
      <c r="C909" s="4"/>
      <c r="D909" s="11"/>
      <c r="E909" s="2"/>
    </row>
    <row r="910" spans="1:5">
      <c r="A910" s="8" t="str">
        <f t="shared" ca="1" si="15"/>
        <v/>
      </c>
      <c r="B910" s="12"/>
      <c r="C910" s="4"/>
      <c r="D910" s="11"/>
      <c r="E910" s="2"/>
    </row>
    <row r="911" spans="1:5">
      <c r="A911" s="8" t="str">
        <f t="shared" ca="1" si="15"/>
        <v/>
      </c>
      <c r="B911" s="12"/>
      <c r="C911" s="4"/>
      <c r="D911" s="11"/>
      <c r="E911" s="2"/>
    </row>
    <row r="912" spans="1:5">
      <c r="A912" s="8" t="str">
        <f t="shared" ca="1" si="15"/>
        <v/>
      </c>
      <c r="B912" s="12"/>
      <c r="C912" s="4"/>
      <c r="D912" s="11"/>
      <c r="E912" s="2"/>
    </row>
    <row r="913" spans="1:5">
      <c r="A913" s="8" t="str">
        <f t="shared" ca="1" si="15"/>
        <v/>
      </c>
      <c r="B913" s="12"/>
      <c r="C913" s="4"/>
      <c r="D913" s="11"/>
      <c r="E913" s="2"/>
    </row>
    <row r="914" spans="1:5">
      <c r="A914" s="8" t="str">
        <f t="shared" ca="1" si="15"/>
        <v/>
      </c>
      <c r="B914" s="12"/>
      <c r="C914" s="4"/>
      <c r="D914" s="11"/>
      <c r="E914" s="2"/>
    </row>
    <row r="915" spans="1:5">
      <c r="A915" s="8" t="str">
        <f t="shared" ca="1" si="15"/>
        <v/>
      </c>
      <c r="B915" s="12"/>
      <c r="C915" s="4"/>
      <c r="D915" s="11"/>
      <c r="E915" s="2"/>
    </row>
    <row r="916" spans="1:5">
      <c r="A916" s="8" t="str">
        <f t="shared" ca="1" si="15"/>
        <v/>
      </c>
      <c r="B916" s="12"/>
      <c r="C916" s="4"/>
      <c r="D916" s="11"/>
      <c r="E916" s="2"/>
    </row>
    <row r="917" spans="1:5">
      <c r="A917" s="8" t="str">
        <f t="shared" ca="1" si="15"/>
        <v/>
      </c>
      <c r="B917" s="12"/>
      <c r="C917" s="4"/>
      <c r="D917" s="11"/>
      <c r="E917" s="2"/>
    </row>
    <row r="918" spans="1:5">
      <c r="A918" s="8" t="str">
        <f t="shared" ca="1" si="15"/>
        <v/>
      </c>
      <c r="B918" s="12"/>
      <c r="C918" s="4"/>
      <c r="D918" s="11"/>
      <c r="E918" s="2"/>
    </row>
    <row r="919" spans="1:5">
      <c r="A919" s="8" t="str">
        <f t="shared" ca="1" si="15"/>
        <v/>
      </c>
      <c r="B919" s="12"/>
      <c r="C919" s="4"/>
      <c r="D919" s="11"/>
      <c r="E919" s="2"/>
    </row>
    <row r="920" spans="1:5">
      <c r="A920" s="8" t="str">
        <f t="shared" ca="1" si="15"/>
        <v/>
      </c>
      <c r="B920" s="12"/>
      <c r="C920" s="4"/>
      <c r="D920" s="11"/>
      <c r="E920" s="2"/>
    </row>
    <row r="921" spans="1:5">
      <c r="A921" s="8" t="str">
        <f t="shared" ca="1" si="15"/>
        <v/>
      </c>
      <c r="B921" s="12"/>
      <c r="C921" s="4"/>
      <c r="D921" s="11"/>
      <c r="E921" s="2"/>
    </row>
    <row r="922" spans="1:5">
      <c r="A922" s="8" t="str">
        <f t="shared" ca="1" si="15"/>
        <v/>
      </c>
      <c r="B922" s="12"/>
      <c r="C922" s="4"/>
      <c r="D922" s="11"/>
      <c r="E922" s="2"/>
    </row>
    <row r="923" spans="1:5">
      <c r="A923" s="8" t="str">
        <f t="shared" ca="1" si="15"/>
        <v/>
      </c>
      <c r="B923" s="12"/>
      <c r="C923" s="4"/>
      <c r="D923" s="11"/>
      <c r="E923" s="2"/>
    </row>
    <row r="924" spans="1:5">
      <c r="A924" s="8" t="str">
        <f t="shared" ca="1" si="15"/>
        <v/>
      </c>
      <c r="B924" s="12"/>
      <c r="C924" s="4"/>
      <c r="D924" s="11"/>
      <c r="E924" s="2"/>
    </row>
    <row r="925" spans="1:5">
      <c r="A925" s="8" t="str">
        <f t="shared" ca="1" si="15"/>
        <v/>
      </c>
      <c r="B925" s="12"/>
      <c r="C925" s="4"/>
      <c r="D925" s="11"/>
      <c r="E925" s="2"/>
    </row>
    <row r="926" spans="1:5">
      <c r="A926" s="8" t="str">
        <f t="shared" ca="1" si="15"/>
        <v/>
      </c>
      <c r="B926" s="12"/>
      <c r="C926" s="4"/>
      <c r="D926" s="11"/>
      <c r="E926" s="2"/>
    </row>
    <row r="927" spans="1:5">
      <c r="A927" s="8" t="str">
        <f t="shared" ca="1" si="15"/>
        <v/>
      </c>
      <c r="B927" s="12"/>
      <c r="C927" s="4"/>
      <c r="D927" s="11"/>
      <c r="E927" s="2"/>
    </row>
    <row r="928" spans="1:5">
      <c r="A928" s="8" t="str">
        <f t="shared" ca="1" si="15"/>
        <v/>
      </c>
      <c r="B928" s="12"/>
      <c r="C928" s="4"/>
      <c r="D928" s="11"/>
      <c r="E928" s="2"/>
    </row>
    <row r="929" spans="1:5">
      <c r="A929" s="8" t="str">
        <f t="shared" ca="1" si="15"/>
        <v/>
      </c>
      <c r="B929" s="12"/>
      <c r="C929" s="4"/>
      <c r="D929" s="11"/>
      <c r="E929" s="2"/>
    </row>
    <row r="930" spans="1:5">
      <c r="A930" s="8" t="str">
        <f t="shared" ca="1" si="15"/>
        <v/>
      </c>
      <c r="B930" s="12"/>
      <c r="C930" s="4"/>
      <c r="D930" s="11"/>
      <c r="E930" s="2"/>
    </row>
    <row r="931" spans="1:5">
      <c r="A931" s="8" t="str">
        <f t="shared" ca="1" si="15"/>
        <v/>
      </c>
      <c r="B931" s="12"/>
      <c r="C931" s="4"/>
      <c r="D931" s="11"/>
      <c r="E931" s="2"/>
    </row>
    <row r="932" spans="1:5">
      <c r="A932" s="8" t="str">
        <f t="shared" ca="1" si="15"/>
        <v/>
      </c>
      <c r="B932" s="12"/>
      <c r="C932" s="4"/>
      <c r="D932" s="11"/>
      <c r="E932" s="2"/>
    </row>
    <row r="933" spans="1:5">
      <c r="A933" s="8" t="str">
        <f t="shared" ca="1" si="15"/>
        <v/>
      </c>
      <c r="B933" s="12"/>
      <c r="C933" s="4"/>
      <c r="D933" s="11"/>
      <c r="E933" s="2"/>
    </row>
    <row r="934" spans="1:5">
      <c r="A934" s="8" t="str">
        <f t="shared" ca="1" si="15"/>
        <v/>
      </c>
      <c r="B934" s="12"/>
      <c r="C934" s="4"/>
      <c r="D934" s="11"/>
      <c r="E934" s="2"/>
    </row>
    <row r="935" spans="1:5">
      <c r="A935" s="8" t="str">
        <f t="shared" ca="1" si="15"/>
        <v/>
      </c>
      <c r="B935" s="12"/>
      <c r="C935" s="4"/>
      <c r="D935" s="11"/>
      <c r="E935" s="2"/>
    </row>
    <row r="936" spans="1:5">
      <c r="A936" s="8" t="str">
        <f t="shared" ca="1" si="15"/>
        <v/>
      </c>
      <c r="B936" s="12"/>
      <c r="C936" s="4"/>
      <c r="D936" s="11"/>
      <c r="E936" s="2"/>
    </row>
    <row r="937" spans="1:5">
      <c r="A937" s="8" t="str">
        <f t="shared" ca="1" si="15"/>
        <v/>
      </c>
      <c r="B937" s="12"/>
      <c r="C937" s="4"/>
      <c r="D937" s="11"/>
      <c r="E937" s="2"/>
    </row>
    <row r="938" spans="1:5">
      <c r="A938" s="8" t="str">
        <f t="shared" ca="1" si="15"/>
        <v/>
      </c>
      <c r="B938" s="12"/>
      <c r="C938" s="4"/>
      <c r="D938" s="11"/>
      <c r="E938" s="2"/>
    </row>
    <row r="939" spans="1:5">
      <c r="A939" s="8" t="str">
        <f t="shared" ca="1" si="15"/>
        <v/>
      </c>
      <c r="B939" s="12"/>
      <c r="C939" s="4"/>
      <c r="D939" s="11"/>
      <c r="E939" s="2"/>
    </row>
    <row r="940" spans="1:5">
      <c r="A940" s="8" t="str">
        <f t="shared" ca="1" si="15"/>
        <v/>
      </c>
      <c r="B940" s="12"/>
      <c r="C940" s="4"/>
      <c r="D940" s="11"/>
      <c r="E940" s="2"/>
    </row>
    <row r="941" spans="1:5">
      <c r="A941" s="8" t="str">
        <f t="shared" ca="1" si="15"/>
        <v/>
      </c>
      <c r="B941" s="12"/>
      <c r="C941" s="4"/>
      <c r="D941" s="11"/>
      <c r="E941" s="2"/>
    </row>
    <row r="942" spans="1:5">
      <c r="A942" s="8" t="str">
        <f t="shared" ca="1" si="15"/>
        <v/>
      </c>
      <c r="B942" s="12"/>
      <c r="C942" s="4"/>
      <c r="D942" s="11"/>
      <c r="E942" s="2"/>
    </row>
    <row r="943" spans="1:5">
      <c r="A943" s="8" t="str">
        <f t="shared" ca="1" si="15"/>
        <v/>
      </c>
      <c r="B943" s="12"/>
      <c r="C943" s="4"/>
      <c r="D943" s="11"/>
      <c r="E943" s="2"/>
    </row>
    <row r="944" spans="1:5">
      <c r="A944" s="8" t="str">
        <f t="shared" ca="1" si="15"/>
        <v/>
      </c>
      <c r="B944" s="12"/>
      <c r="C944" s="4"/>
      <c r="D944" s="11"/>
      <c r="E944" s="2"/>
    </row>
    <row r="945" spans="1:5">
      <c r="A945" s="8" t="str">
        <f t="shared" ca="1" si="15"/>
        <v/>
      </c>
      <c r="B945" s="12"/>
      <c r="C945" s="4"/>
      <c r="D945" s="11"/>
      <c r="E945" s="2"/>
    </row>
    <row r="946" spans="1:5">
      <c r="A946" s="8" t="str">
        <f t="shared" ca="1" si="15"/>
        <v/>
      </c>
      <c r="B946" s="12"/>
      <c r="C946" s="4"/>
      <c r="D946" s="11"/>
      <c r="E946" s="2"/>
    </row>
    <row r="947" spans="1:5">
      <c r="A947" s="8" t="str">
        <f t="shared" ca="1" si="15"/>
        <v/>
      </c>
      <c r="B947" s="12"/>
      <c r="C947" s="4"/>
      <c r="D947" s="11"/>
      <c r="E947" s="2"/>
    </row>
    <row r="948" spans="1:5">
      <c r="A948" s="8" t="str">
        <f t="shared" ca="1" si="15"/>
        <v/>
      </c>
      <c r="B948" s="12"/>
      <c r="C948" s="4"/>
      <c r="D948" s="11"/>
      <c r="E948" s="2"/>
    </row>
    <row r="949" spans="1:5">
      <c r="A949" s="8" t="str">
        <f t="shared" ca="1" si="15"/>
        <v/>
      </c>
      <c r="B949" s="12"/>
      <c r="C949" s="4"/>
      <c r="D949" s="11"/>
      <c r="E949" s="2"/>
    </row>
    <row r="950" spans="1:5">
      <c r="A950" s="8" t="str">
        <f t="shared" ca="1" si="15"/>
        <v/>
      </c>
      <c r="B950" s="12"/>
      <c r="C950" s="4"/>
      <c r="D950" s="11"/>
      <c r="E950" s="2"/>
    </row>
    <row r="951" spans="1:5">
      <c r="A951" s="8" t="str">
        <f t="shared" ca="1" si="15"/>
        <v/>
      </c>
      <c r="B951" s="12"/>
      <c r="C951" s="4"/>
      <c r="D951" s="11"/>
      <c r="E951" s="2"/>
    </row>
    <row r="952" spans="1:5">
      <c r="A952" s="8" t="str">
        <f t="shared" ca="1" si="15"/>
        <v/>
      </c>
      <c r="B952" s="12"/>
      <c r="C952" s="4"/>
      <c r="D952" s="11"/>
      <c r="E952" s="2"/>
    </row>
    <row r="953" spans="1:5">
      <c r="A953" s="8" t="str">
        <f t="shared" ca="1" si="15"/>
        <v/>
      </c>
      <c r="B953" s="12"/>
      <c r="C953" s="4"/>
      <c r="D953" s="11"/>
      <c r="E953" s="2"/>
    </row>
    <row r="954" spans="1:5">
      <c r="A954" s="8" t="str">
        <f t="shared" ca="1" si="15"/>
        <v/>
      </c>
      <c r="B954" s="12"/>
      <c r="C954" s="4"/>
      <c r="D954" s="11"/>
      <c r="E954" s="2"/>
    </row>
    <row r="955" spans="1:5">
      <c r="A955" s="8" t="str">
        <f t="shared" ca="1" si="15"/>
        <v/>
      </c>
      <c r="B955" s="12"/>
      <c r="C955" s="4"/>
      <c r="D955" s="11"/>
      <c r="E955" s="2"/>
    </row>
    <row r="956" spans="1:5">
      <c r="A956" s="8" t="str">
        <f t="shared" ca="1" si="15"/>
        <v/>
      </c>
      <c r="B956" s="12"/>
      <c r="C956" s="4"/>
      <c r="D956" s="11"/>
      <c r="E956" s="2"/>
    </row>
    <row r="957" spans="1:5">
      <c r="A957" s="8" t="str">
        <f t="shared" ca="1" si="15"/>
        <v/>
      </c>
      <c r="B957" s="12"/>
      <c r="C957" s="4"/>
      <c r="D957" s="11"/>
      <c r="E957" s="2"/>
    </row>
    <row r="958" spans="1:5">
      <c r="A958" s="8" t="str">
        <f t="shared" ca="1" si="15"/>
        <v/>
      </c>
      <c r="B958" s="12"/>
      <c r="C958" s="4"/>
      <c r="D958" s="11"/>
      <c r="E958" s="2"/>
    </row>
    <row r="959" spans="1:5">
      <c r="A959" s="8" t="str">
        <f t="shared" ca="1" si="15"/>
        <v/>
      </c>
      <c r="B959" s="12"/>
      <c r="C959" s="4"/>
      <c r="D959" s="11"/>
      <c r="E959" s="2"/>
    </row>
    <row r="960" spans="1:5">
      <c r="A960" s="8" t="str">
        <f t="shared" ca="1" si="15"/>
        <v/>
      </c>
      <c r="B960" s="12"/>
      <c r="C960" s="4"/>
      <c r="D960" s="11"/>
      <c r="E960" s="2"/>
    </row>
    <row r="961" spans="1:5">
      <c r="A961" s="8" t="str">
        <f t="shared" ca="1" si="15"/>
        <v/>
      </c>
      <c r="B961" s="12"/>
      <c r="C961" s="4"/>
      <c r="D961" s="11"/>
      <c r="E961" s="2"/>
    </row>
    <row r="962" spans="1:5">
      <c r="A962" s="8" t="str">
        <f t="shared" ca="1" si="15"/>
        <v/>
      </c>
      <c r="B962" s="12"/>
      <c r="C962" s="4"/>
      <c r="D962" s="11"/>
      <c r="E962" s="2"/>
    </row>
    <row r="963" spans="1:5">
      <c r="A963" s="8" t="str">
        <f t="shared" ca="1" si="15"/>
        <v/>
      </c>
      <c r="B963" s="12"/>
      <c r="C963" s="4"/>
      <c r="D963" s="11"/>
      <c r="E963" s="2"/>
    </row>
    <row r="964" spans="1:5">
      <c r="A964" s="8" t="str">
        <f t="shared" ca="1" si="15"/>
        <v/>
      </c>
      <c r="B964" s="12"/>
      <c r="C964" s="4"/>
      <c r="D964" s="11"/>
      <c r="E964" s="2"/>
    </row>
    <row r="965" spans="1:5">
      <c r="A965" s="8" t="str">
        <f t="shared" ca="1" si="15"/>
        <v/>
      </c>
      <c r="B965" s="12"/>
      <c r="C965" s="4"/>
      <c r="D965" s="11"/>
      <c r="E965" s="2"/>
    </row>
    <row r="966" spans="1:5">
      <c r="A966" s="8" t="str">
        <f t="shared" ca="1" si="15"/>
        <v/>
      </c>
      <c r="B966" s="12"/>
      <c r="C966" s="4"/>
      <c r="D966" s="11"/>
      <c r="E966" s="2"/>
    </row>
    <row r="967" spans="1:5">
      <c r="A967" s="8" t="str">
        <f t="shared" ca="1" si="15"/>
        <v/>
      </c>
      <c r="B967" s="12"/>
      <c r="C967" s="4"/>
      <c r="D967" s="11"/>
      <c r="E967" s="2"/>
    </row>
    <row r="968" spans="1:5">
      <c r="A968" s="8" t="str">
        <f t="shared" ca="1" si="15"/>
        <v/>
      </c>
      <c r="B968" s="12"/>
      <c r="C968" s="4"/>
      <c r="D968" s="11"/>
      <c r="E968" s="2"/>
    </row>
    <row r="969" spans="1:5">
      <c r="A969" s="8" t="str">
        <f t="shared" ca="1" si="15"/>
        <v/>
      </c>
      <c r="B969" s="12"/>
      <c r="C969" s="4"/>
      <c r="D969" s="11"/>
      <c r="E969" s="2"/>
    </row>
    <row r="970" spans="1:5">
      <c r="A970" s="8" t="str">
        <f t="shared" ref="A970:A1033" ca="1" si="16">IF(B970="","",IF(A970="",TODAY(),A970))</f>
        <v/>
      </c>
      <c r="B970" s="12"/>
      <c r="C970" s="4"/>
      <c r="D970" s="11"/>
      <c r="E970" s="2"/>
    </row>
    <row r="971" spans="1:5">
      <c r="A971" s="8" t="str">
        <f t="shared" ca="1" si="16"/>
        <v/>
      </c>
      <c r="B971" s="12"/>
      <c r="C971" s="4"/>
      <c r="D971" s="11"/>
      <c r="E971" s="2"/>
    </row>
    <row r="972" spans="1:5">
      <c r="A972" s="8" t="str">
        <f t="shared" ca="1" si="16"/>
        <v/>
      </c>
      <c r="B972" s="12"/>
      <c r="C972" s="4"/>
      <c r="D972" s="11"/>
      <c r="E972" s="2"/>
    </row>
    <row r="973" spans="1:5">
      <c r="A973" s="8" t="str">
        <f t="shared" ca="1" si="16"/>
        <v/>
      </c>
      <c r="B973" s="12"/>
      <c r="C973" s="4"/>
      <c r="D973" s="11"/>
      <c r="E973" s="2"/>
    </row>
    <row r="974" spans="1:5">
      <c r="A974" s="8" t="str">
        <f t="shared" ca="1" si="16"/>
        <v/>
      </c>
      <c r="B974" s="12"/>
      <c r="C974" s="4"/>
      <c r="D974" s="11"/>
      <c r="E974" s="2"/>
    </row>
    <row r="975" spans="1:5">
      <c r="A975" s="8" t="str">
        <f t="shared" ca="1" si="16"/>
        <v/>
      </c>
      <c r="B975" s="12"/>
      <c r="C975" s="4"/>
      <c r="D975" s="11"/>
      <c r="E975" s="2"/>
    </row>
    <row r="976" spans="1:5">
      <c r="A976" s="8" t="str">
        <f t="shared" ca="1" si="16"/>
        <v/>
      </c>
      <c r="B976" s="12"/>
      <c r="C976" s="4"/>
      <c r="D976" s="11"/>
      <c r="E976" s="2"/>
    </row>
    <row r="977" spans="1:5">
      <c r="A977" s="8" t="str">
        <f t="shared" ca="1" si="16"/>
        <v/>
      </c>
      <c r="B977" s="12"/>
      <c r="C977" s="4"/>
      <c r="D977" s="11"/>
      <c r="E977" s="2"/>
    </row>
    <row r="978" spans="1:5">
      <c r="A978" s="8" t="str">
        <f t="shared" ca="1" si="16"/>
        <v/>
      </c>
      <c r="B978" s="12"/>
      <c r="C978" s="4"/>
      <c r="D978" s="11"/>
      <c r="E978" s="2"/>
    </row>
    <row r="979" spans="1:5">
      <c r="A979" s="8" t="str">
        <f t="shared" ca="1" si="16"/>
        <v/>
      </c>
      <c r="B979" s="12"/>
      <c r="C979" s="4"/>
      <c r="D979" s="11"/>
      <c r="E979" s="2"/>
    </row>
    <row r="980" spans="1:5">
      <c r="A980" s="8" t="str">
        <f t="shared" ca="1" si="16"/>
        <v/>
      </c>
      <c r="B980" s="12"/>
      <c r="C980" s="4"/>
      <c r="D980" s="11"/>
      <c r="E980" s="2"/>
    </row>
    <row r="981" spans="1:5">
      <c r="A981" s="8" t="str">
        <f t="shared" ca="1" si="16"/>
        <v/>
      </c>
      <c r="B981" s="12"/>
      <c r="C981" s="4"/>
      <c r="D981" s="11"/>
      <c r="E981" s="2"/>
    </row>
    <row r="982" spans="1:5">
      <c r="A982" s="8" t="str">
        <f t="shared" ca="1" si="16"/>
        <v/>
      </c>
      <c r="B982" s="12"/>
      <c r="C982" s="4"/>
      <c r="D982" s="11"/>
      <c r="E982" s="2"/>
    </row>
    <row r="983" spans="1:5">
      <c r="A983" s="8" t="str">
        <f t="shared" ca="1" si="16"/>
        <v/>
      </c>
      <c r="B983" s="12"/>
      <c r="C983" s="4"/>
      <c r="D983" s="11"/>
      <c r="E983" s="2"/>
    </row>
    <row r="984" spans="1:5">
      <c r="A984" s="8" t="str">
        <f t="shared" ca="1" si="16"/>
        <v/>
      </c>
      <c r="B984" s="12"/>
      <c r="C984" s="4"/>
      <c r="D984" s="11"/>
      <c r="E984" s="2"/>
    </row>
    <row r="985" spans="1:5">
      <c r="A985" s="8" t="str">
        <f t="shared" ca="1" si="16"/>
        <v/>
      </c>
      <c r="B985" s="12"/>
      <c r="C985" s="4"/>
      <c r="D985" s="11"/>
      <c r="E985" s="2"/>
    </row>
    <row r="986" spans="1:5">
      <c r="A986" s="8" t="str">
        <f t="shared" ca="1" si="16"/>
        <v/>
      </c>
      <c r="B986" s="12"/>
      <c r="C986" s="4"/>
      <c r="D986" s="11"/>
      <c r="E986" s="2"/>
    </row>
    <row r="987" spans="1:5">
      <c r="A987" s="8" t="str">
        <f t="shared" ca="1" si="16"/>
        <v/>
      </c>
      <c r="B987" s="12"/>
      <c r="C987" s="4"/>
      <c r="D987" s="11"/>
      <c r="E987" s="2"/>
    </row>
    <row r="988" spans="1:5">
      <c r="A988" s="8" t="str">
        <f t="shared" ca="1" si="16"/>
        <v/>
      </c>
      <c r="B988" s="12"/>
      <c r="C988" s="4"/>
      <c r="D988" s="11"/>
      <c r="E988" s="2"/>
    </row>
    <row r="989" spans="1:5">
      <c r="A989" s="8" t="str">
        <f t="shared" ca="1" si="16"/>
        <v/>
      </c>
      <c r="B989" s="12"/>
      <c r="C989" s="4"/>
      <c r="D989" s="11"/>
      <c r="E989" s="2"/>
    </row>
    <row r="990" spans="1:5">
      <c r="A990" s="8" t="str">
        <f t="shared" ca="1" si="16"/>
        <v/>
      </c>
      <c r="B990" s="12"/>
      <c r="C990" s="4"/>
      <c r="D990" s="11"/>
      <c r="E990" s="2"/>
    </row>
    <row r="991" spans="1:5">
      <c r="A991" s="8" t="str">
        <f t="shared" ca="1" si="16"/>
        <v/>
      </c>
      <c r="B991" s="12"/>
      <c r="C991" s="4"/>
      <c r="D991" s="11"/>
      <c r="E991" s="2"/>
    </row>
    <row r="992" spans="1:5">
      <c r="A992" s="8" t="str">
        <f t="shared" ca="1" si="16"/>
        <v/>
      </c>
      <c r="B992" s="12"/>
      <c r="C992" s="4"/>
      <c r="D992" s="11"/>
      <c r="E992" s="2"/>
    </row>
    <row r="993" spans="1:10">
      <c r="A993" s="8" t="str">
        <f t="shared" ca="1" si="16"/>
        <v/>
      </c>
      <c r="B993" s="12"/>
      <c r="C993" s="4"/>
      <c r="D993" s="11"/>
      <c r="E993" s="2"/>
    </row>
    <row r="994" spans="1:10">
      <c r="A994" s="8" t="str">
        <f t="shared" ca="1" si="16"/>
        <v/>
      </c>
      <c r="B994" s="12"/>
      <c r="C994" s="4"/>
      <c r="D994" s="11"/>
      <c r="E994" s="2"/>
    </row>
    <row r="995" spans="1:10">
      <c r="A995" s="8" t="str">
        <f t="shared" ca="1" si="16"/>
        <v/>
      </c>
      <c r="B995" s="12"/>
      <c r="C995" s="4"/>
      <c r="D995" s="11"/>
      <c r="E995" s="2"/>
    </row>
    <row r="996" spans="1:10">
      <c r="A996" s="8" t="str">
        <f t="shared" ca="1" si="16"/>
        <v/>
      </c>
      <c r="B996" s="12"/>
      <c r="C996" s="4"/>
      <c r="D996" s="11"/>
      <c r="E996" s="2"/>
      <c r="J996" s="7"/>
    </row>
    <row r="997" spans="1:10">
      <c r="A997" s="8" t="str">
        <f t="shared" ca="1" si="16"/>
        <v/>
      </c>
      <c r="B997" s="12"/>
      <c r="C997" s="4"/>
      <c r="D997" s="11"/>
      <c r="E997" s="2"/>
    </row>
    <row r="998" spans="1:10">
      <c r="A998" s="8" t="str">
        <f t="shared" ca="1" si="16"/>
        <v/>
      </c>
      <c r="B998" s="12"/>
      <c r="C998" s="4"/>
      <c r="D998" s="11"/>
      <c r="E998" s="2"/>
    </row>
    <row r="999" spans="1:10">
      <c r="A999" s="8" t="str">
        <f t="shared" ca="1" si="16"/>
        <v/>
      </c>
      <c r="B999" s="12"/>
      <c r="C999" s="4"/>
      <c r="D999" s="11"/>
      <c r="E999" s="2"/>
    </row>
    <row r="1000" spans="1:10">
      <c r="A1000" s="8" t="str">
        <f t="shared" ca="1" si="16"/>
        <v/>
      </c>
      <c r="B1000" s="12"/>
      <c r="C1000" s="4"/>
      <c r="D1000" s="11"/>
      <c r="E1000" s="2"/>
    </row>
    <row r="1001" spans="1:10">
      <c r="A1001" s="8" t="str">
        <f t="shared" ca="1" si="16"/>
        <v/>
      </c>
      <c r="B1001" s="12"/>
      <c r="C1001" s="4"/>
      <c r="D1001" s="11"/>
      <c r="E1001" s="2"/>
    </row>
    <row r="1002" spans="1:10">
      <c r="A1002" s="8" t="str">
        <f t="shared" ca="1" si="16"/>
        <v/>
      </c>
      <c r="B1002" s="12"/>
      <c r="C1002" s="4"/>
      <c r="D1002" s="11"/>
      <c r="E1002" s="2"/>
    </row>
    <row r="1003" spans="1:10">
      <c r="A1003" s="8" t="str">
        <f t="shared" ca="1" si="16"/>
        <v/>
      </c>
      <c r="B1003" s="12"/>
      <c r="C1003" s="4"/>
      <c r="D1003" s="11"/>
      <c r="E1003" s="2"/>
    </row>
    <row r="1004" spans="1:10">
      <c r="A1004" s="8" t="str">
        <f t="shared" ca="1" si="16"/>
        <v/>
      </c>
      <c r="B1004" s="12"/>
      <c r="C1004" s="4"/>
      <c r="D1004" s="11"/>
      <c r="E1004" s="2"/>
    </row>
    <row r="1005" spans="1:10">
      <c r="A1005" s="8" t="str">
        <f t="shared" ca="1" si="16"/>
        <v/>
      </c>
      <c r="B1005" s="12"/>
      <c r="C1005" s="4"/>
      <c r="D1005" s="11"/>
      <c r="E1005" s="2"/>
    </row>
    <row r="1006" spans="1:10">
      <c r="A1006" s="8" t="str">
        <f t="shared" ca="1" si="16"/>
        <v/>
      </c>
      <c r="B1006" s="12"/>
      <c r="C1006" s="4"/>
      <c r="D1006" s="11"/>
      <c r="E1006" s="2"/>
    </row>
    <row r="1007" spans="1:10">
      <c r="A1007" s="8" t="str">
        <f t="shared" ca="1" si="16"/>
        <v/>
      </c>
      <c r="B1007" s="12"/>
      <c r="C1007" s="4"/>
      <c r="D1007" s="11"/>
      <c r="E1007" s="2"/>
    </row>
    <row r="1008" spans="1:10">
      <c r="A1008" s="8" t="str">
        <f t="shared" ca="1" si="16"/>
        <v/>
      </c>
      <c r="B1008" s="12"/>
      <c r="C1008" s="4"/>
      <c r="D1008" s="11"/>
      <c r="E1008" s="2"/>
    </row>
    <row r="1009" spans="1:5">
      <c r="A1009" s="8" t="str">
        <f t="shared" ca="1" si="16"/>
        <v/>
      </c>
      <c r="B1009" s="12"/>
      <c r="C1009" s="4"/>
      <c r="D1009" s="11"/>
      <c r="E1009" s="2"/>
    </row>
    <row r="1010" spans="1:5">
      <c r="A1010" s="8" t="str">
        <f t="shared" ca="1" si="16"/>
        <v/>
      </c>
      <c r="B1010" s="12"/>
      <c r="C1010" s="4"/>
      <c r="D1010" s="11"/>
      <c r="E1010" s="2"/>
    </row>
    <row r="1011" spans="1:5">
      <c r="A1011" s="8" t="str">
        <f t="shared" ca="1" si="16"/>
        <v/>
      </c>
      <c r="B1011" s="12"/>
      <c r="C1011" s="4"/>
      <c r="D1011" s="11"/>
      <c r="E1011" s="2"/>
    </row>
    <row r="1012" spans="1:5">
      <c r="A1012" s="8" t="str">
        <f t="shared" ca="1" si="16"/>
        <v/>
      </c>
      <c r="B1012" s="12"/>
      <c r="C1012" s="4"/>
      <c r="D1012" s="11"/>
      <c r="E1012" s="2"/>
    </row>
    <row r="1013" spans="1:5">
      <c r="A1013" s="8" t="str">
        <f t="shared" ca="1" si="16"/>
        <v/>
      </c>
      <c r="B1013" s="12"/>
      <c r="C1013" s="4"/>
      <c r="D1013" s="11"/>
      <c r="E1013" s="2"/>
    </row>
    <row r="1014" spans="1:5">
      <c r="A1014" s="8" t="str">
        <f t="shared" ca="1" si="16"/>
        <v/>
      </c>
      <c r="B1014" s="12"/>
      <c r="C1014" s="4"/>
      <c r="D1014" s="11"/>
      <c r="E1014" s="2"/>
    </row>
    <row r="1015" spans="1:5">
      <c r="A1015" s="8" t="str">
        <f t="shared" ca="1" si="16"/>
        <v/>
      </c>
      <c r="B1015" s="12"/>
      <c r="C1015" s="4"/>
      <c r="D1015" s="11"/>
      <c r="E1015" s="2"/>
    </row>
    <row r="1016" spans="1:5">
      <c r="A1016" s="8" t="str">
        <f t="shared" ca="1" si="16"/>
        <v/>
      </c>
      <c r="B1016" s="12"/>
      <c r="C1016" s="4"/>
      <c r="D1016" s="11"/>
      <c r="E1016" s="2"/>
    </row>
    <row r="1017" spans="1:5">
      <c r="A1017" s="8" t="str">
        <f t="shared" ca="1" si="16"/>
        <v/>
      </c>
      <c r="B1017" s="12"/>
      <c r="C1017" s="4"/>
      <c r="D1017" s="11"/>
      <c r="E1017" s="2"/>
    </row>
    <row r="1018" spans="1:5">
      <c r="A1018" s="8" t="str">
        <f t="shared" ca="1" si="16"/>
        <v/>
      </c>
      <c r="B1018" s="12"/>
      <c r="C1018" s="4"/>
      <c r="D1018" s="11"/>
      <c r="E1018" s="2"/>
    </row>
    <row r="1019" spans="1:5">
      <c r="A1019" s="8" t="str">
        <f t="shared" ca="1" si="16"/>
        <v/>
      </c>
      <c r="B1019" s="12"/>
      <c r="C1019" s="4"/>
      <c r="D1019" s="11"/>
      <c r="E1019" s="2"/>
    </row>
    <row r="1020" spans="1:5">
      <c r="A1020" s="8" t="str">
        <f t="shared" ca="1" si="16"/>
        <v/>
      </c>
      <c r="B1020" s="12"/>
      <c r="C1020" s="4"/>
      <c r="D1020" s="11"/>
      <c r="E1020" s="2"/>
    </row>
    <row r="1021" spans="1:5">
      <c r="A1021" s="8" t="str">
        <f t="shared" ca="1" si="16"/>
        <v/>
      </c>
      <c r="B1021" s="12"/>
      <c r="C1021" s="4"/>
      <c r="D1021" s="11"/>
      <c r="E1021" s="2"/>
    </row>
    <row r="1022" spans="1:5">
      <c r="A1022" s="8" t="str">
        <f t="shared" ca="1" si="16"/>
        <v/>
      </c>
      <c r="B1022" s="12"/>
      <c r="C1022" s="4"/>
      <c r="D1022" s="11"/>
      <c r="E1022" s="2"/>
    </row>
    <row r="1023" spans="1:5">
      <c r="A1023" s="8" t="str">
        <f t="shared" ca="1" si="16"/>
        <v/>
      </c>
      <c r="B1023" s="12"/>
      <c r="C1023" s="4"/>
      <c r="D1023" s="11"/>
      <c r="E1023" s="2"/>
    </row>
    <row r="1024" spans="1:5">
      <c r="A1024" s="8" t="str">
        <f t="shared" ca="1" si="16"/>
        <v/>
      </c>
      <c r="B1024" s="12"/>
      <c r="C1024" s="4"/>
      <c r="D1024" s="11"/>
      <c r="E1024" s="2"/>
    </row>
    <row r="1025" spans="1:5">
      <c r="A1025" s="8" t="str">
        <f t="shared" ca="1" si="16"/>
        <v/>
      </c>
      <c r="B1025" s="12"/>
      <c r="C1025" s="4"/>
      <c r="D1025" s="11"/>
      <c r="E1025" s="2"/>
    </row>
    <row r="1026" spans="1:5">
      <c r="A1026" s="8" t="str">
        <f t="shared" ca="1" si="16"/>
        <v/>
      </c>
      <c r="B1026" s="12"/>
      <c r="C1026" s="4"/>
      <c r="D1026" s="11"/>
      <c r="E1026" s="2"/>
    </row>
    <row r="1027" spans="1:5">
      <c r="A1027" s="8" t="str">
        <f t="shared" ca="1" si="16"/>
        <v/>
      </c>
      <c r="B1027" s="12"/>
      <c r="C1027" s="4"/>
      <c r="D1027" s="11"/>
      <c r="E1027" s="2"/>
    </row>
    <row r="1028" spans="1:5">
      <c r="A1028" s="8" t="str">
        <f t="shared" ca="1" si="16"/>
        <v/>
      </c>
      <c r="B1028" s="12"/>
      <c r="C1028" s="4"/>
      <c r="D1028" s="11"/>
      <c r="E1028" s="2"/>
    </row>
    <row r="1029" spans="1:5">
      <c r="A1029" s="8" t="str">
        <f t="shared" ca="1" si="16"/>
        <v/>
      </c>
      <c r="B1029" s="12"/>
      <c r="C1029" s="4"/>
      <c r="D1029" s="11"/>
      <c r="E1029" s="2"/>
    </row>
    <row r="1030" spans="1:5">
      <c r="A1030" s="8" t="str">
        <f t="shared" ca="1" si="16"/>
        <v/>
      </c>
      <c r="B1030" s="12"/>
      <c r="C1030" s="4"/>
      <c r="D1030" s="11"/>
      <c r="E1030" s="2"/>
    </row>
    <row r="1031" spans="1:5">
      <c r="A1031" s="8" t="str">
        <f t="shared" ca="1" si="16"/>
        <v/>
      </c>
      <c r="B1031" s="12"/>
      <c r="C1031" s="4"/>
      <c r="D1031" s="11"/>
      <c r="E1031" s="2"/>
    </row>
    <row r="1032" spans="1:5">
      <c r="A1032" s="8" t="str">
        <f t="shared" ca="1" si="16"/>
        <v/>
      </c>
      <c r="B1032" s="12"/>
      <c r="C1032" s="4"/>
      <c r="D1032" s="11"/>
      <c r="E1032" s="2"/>
    </row>
    <row r="1033" spans="1:5">
      <c r="A1033" s="8" t="str">
        <f t="shared" ca="1" si="16"/>
        <v/>
      </c>
      <c r="B1033" s="12"/>
      <c r="C1033" s="4"/>
      <c r="D1033" s="11"/>
      <c r="E1033" s="2"/>
    </row>
    <row r="1034" spans="1:5">
      <c r="A1034" s="8" t="str">
        <f t="shared" ref="A1034:A1097" ca="1" si="17">IF(B1034="","",IF(A1034="",TODAY(),A1034))</f>
        <v/>
      </c>
      <c r="B1034" s="12"/>
      <c r="C1034" s="4"/>
      <c r="D1034" s="11"/>
      <c r="E1034" s="2"/>
    </row>
    <row r="1035" spans="1:5">
      <c r="A1035" s="8" t="str">
        <f t="shared" ca="1" si="17"/>
        <v/>
      </c>
      <c r="B1035" s="12"/>
      <c r="C1035" s="4"/>
      <c r="D1035" s="11"/>
      <c r="E1035" s="2"/>
    </row>
    <row r="1036" spans="1:5">
      <c r="A1036" s="8" t="str">
        <f t="shared" ca="1" si="17"/>
        <v/>
      </c>
      <c r="B1036" s="12"/>
      <c r="C1036" s="4"/>
      <c r="D1036" s="11"/>
      <c r="E1036" s="2"/>
    </row>
    <row r="1037" spans="1:5">
      <c r="A1037" s="8" t="str">
        <f t="shared" ca="1" si="17"/>
        <v/>
      </c>
      <c r="B1037" s="12"/>
      <c r="C1037" s="4"/>
      <c r="D1037" s="11"/>
      <c r="E1037" s="2"/>
    </row>
    <row r="1038" spans="1:5">
      <c r="A1038" s="8" t="str">
        <f t="shared" ca="1" si="17"/>
        <v/>
      </c>
      <c r="B1038" s="12"/>
      <c r="C1038" s="4"/>
      <c r="D1038" s="11"/>
      <c r="E1038" s="2"/>
    </row>
    <row r="1039" spans="1:5">
      <c r="A1039" s="8" t="str">
        <f t="shared" ca="1" si="17"/>
        <v/>
      </c>
      <c r="B1039" s="12"/>
      <c r="C1039" s="4"/>
      <c r="D1039" s="11"/>
      <c r="E1039" s="2"/>
    </row>
    <row r="1040" spans="1:5">
      <c r="A1040" s="8" t="str">
        <f t="shared" ca="1" si="17"/>
        <v/>
      </c>
      <c r="B1040" s="12"/>
      <c r="C1040" s="4"/>
      <c r="D1040" s="11"/>
      <c r="E1040" s="2"/>
    </row>
    <row r="1041" spans="1:5">
      <c r="A1041" s="8" t="str">
        <f t="shared" ca="1" si="17"/>
        <v/>
      </c>
      <c r="B1041" s="12"/>
      <c r="C1041" s="4"/>
      <c r="D1041" s="11"/>
      <c r="E1041" s="2"/>
    </row>
    <row r="1042" spans="1:5">
      <c r="A1042" s="8" t="str">
        <f t="shared" ca="1" si="17"/>
        <v/>
      </c>
      <c r="B1042" s="12"/>
      <c r="C1042" s="4"/>
      <c r="D1042" s="11"/>
      <c r="E1042" s="2"/>
    </row>
    <row r="1043" spans="1:5">
      <c r="A1043" s="8" t="str">
        <f t="shared" ca="1" si="17"/>
        <v/>
      </c>
      <c r="B1043" s="12"/>
      <c r="C1043" s="4"/>
      <c r="D1043" s="11"/>
      <c r="E1043" s="2"/>
    </row>
    <row r="1044" spans="1:5">
      <c r="A1044" s="8" t="str">
        <f t="shared" ca="1" si="17"/>
        <v/>
      </c>
      <c r="B1044" s="12"/>
      <c r="C1044" s="4"/>
      <c r="D1044" s="11"/>
      <c r="E1044" s="2"/>
    </row>
    <row r="1045" spans="1:5">
      <c r="A1045" s="8" t="str">
        <f t="shared" ca="1" si="17"/>
        <v/>
      </c>
      <c r="B1045" s="12"/>
      <c r="C1045" s="4"/>
      <c r="D1045" s="11"/>
      <c r="E1045" s="2"/>
    </row>
    <row r="1046" spans="1:5">
      <c r="A1046" s="8" t="str">
        <f t="shared" ca="1" si="17"/>
        <v/>
      </c>
      <c r="B1046" s="12"/>
      <c r="C1046" s="4"/>
      <c r="D1046" s="11"/>
      <c r="E1046" s="2"/>
    </row>
    <row r="1047" spans="1:5">
      <c r="A1047" s="8" t="str">
        <f t="shared" ca="1" si="17"/>
        <v/>
      </c>
      <c r="B1047" s="12"/>
      <c r="C1047" s="4"/>
      <c r="D1047" s="11"/>
      <c r="E1047" s="2"/>
    </row>
    <row r="1048" spans="1:5">
      <c r="A1048" s="8" t="str">
        <f t="shared" ca="1" si="17"/>
        <v/>
      </c>
      <c r="B1048" s="12"/>
      <c r="C1048" s="4"/>
      <c r="D1048" s="11"/>
      <c r="E1048" s="2"/>
    </row>
    <row r="1049" spans="1:5">
      <c r="A1049" s="8" t="str">
        <f t="shared" ca="1" si="17"/>
        <v/>
      </c>
      <c r="B1049" s="12"/>
      <c r="C1049" s="4"/>
      <c r="D1049" s="11"/>
      <c r="E1049" s="2"/>
    </row>
    <row r="1050" spans="1:5">
      <c r="A1050" s="8" t="str">
        <f t="shared" ca="1" si="17"/>
        <v/>
      </c>
      <c r="B1050" s="12"/>
      <c r="C1050" s="4"/>
      <c r="D1050" s="11"/>
      <c r="E1050" s="2"/>
    </row>
    <row r="1051" spans="1:5">
      <c r="A1051" s="8" t="str">
        <f t="shared" ca="1" si="17"/>
        <v/>
      </c>
      <c r="B1051" s="12"/>
      <c r="C1051" s="4"/>
      <c r="D1051" s="11"/>
      <c r="E1051" s="2"/>
    </row>
    <row r="1052" spans="1:5">
      <c r="A1052" s="8" t="str">
        <f t="shared" ca="1" si="17"/>
        <v/>
      </c>
      <c r="B1052" s="12"/>
      <c r="C1052" s="4"/>
      <c r="D1052" s="11"/>
      <c r="E1052" s="2"/>
    </row>
    <row r="1053" spans="1:5">
      <c r="A1053" s="8" t="str">
        <f t="shared" ca="1" si="17"/>
        <v/>
      </c>
      <c r="B1053" s="12"/>
      <c r="C1053" s="4"/>
      <c r="D1053" s="11"/>
      <c r="E1053" s="2"/>
    </row>
    <row r="1054" spans="1:5">
      <c r="A1054" s="8" t="str">
        <f t="shared" ca="1" si="17"/>
        <v/>
      </c>
      <c r="B1054" s="12"/>
      <c r="C1054" s="4"/>
      <c r="D1054" s="11"/>
      <c r="E1054" s="2"/>
    </row>
    <row r="1055" spans="1:5">
      <c r="A1055" s="8" t="str">
        <f t="shared" ca="1" si="17"/>
        <v/>
      </c>
      <c r="B1055" s="12"/>
      <c r="C1055" s="4"/>
      <c r="D1055" s="11"/>
      <c r="E1055" s="2"/>
    </row>
    <row r="1056" spans="1:5">
      <c r="A1056" s="8" t="str">
        <f t="shared" ca="1" si="17"/>
        <v/>
      </c>
      <c r="B1056" s="12"/>
      <c r="C1056" s="4"/>
      <c r="D1056" s="11"/>
      <c r="E1056" s="2"/>
    </row>
    <row r="1057" spans="1:5">
      <c r="A1057" s="8" t="str">
        <f t="shared" ca="1" si="17"/>
        <v/>
      </c>
      <c r="B1057" s="12"/>
      <c r="C1057" s="4"/>
      <c r="D1057" s="11"/>
      <c r="E1057" s="2"/>
    </row>
    <row r="1058" spans="1:5">
      <c r="A1058" s="8" t="str">
        <f t="shared" ca="1" si="17"/>
        <v/>
      </c>
      <c r="B1058" s="12"/>
      <c r="C1058" s="4"/>
      <c r="D1058" s="11"/>
      <c r="E1058" s="2"/>
    </row>
    <row r="1059" spans="1:5">
      <c r="A1059" s="8" t="str">
        <f t="shared" ca="1" si="17"/>
        <v/>
      </c>
      <c r="B1059" s="12"/>
      <c r="C1059" s="4"/>
      <c r="D1059" s="11"/>
      <c r="E1059" s="2"/>
    </row>
    <row r="1060" spans="1:5">
      <c r="A1060" s="8" t="str">
        <f t="shared" ca="1" si="17"/>
        <v/>
      </c>
      <c r="B1060" s="12"/>
      <c r="C1060" s="4"/>
      <c r="D1060" s="11"/>
      <c r="E1060" s="2"/>
    </row>
    <row r="1061" spans="1:5">
      <c r="A1061" s="8" t="str">
        <f t="shared" ca="1" si="17"/>
        <v/>
      </c>
      <c r="B1061" s="12"/>
      <c r="C1061" s="4"/>
      <c r="D1061" s="11"/>
      <c r="E1061" s="2"/>
    </row>
    <row r="1062" spans="1:5">
      <c r="A1062" s="8" t="str">
        <f t="shared" ca="1" si="17"/>
        <v/>
      </c>
      <c r="B1062" s="12"/>
      <c r="C1062" s="4"/>
      <c r="D1062" s="11"/>
      <c r="E1062" s="2"/>
    </row>
    <row r="1063" spans="1:5">
      <c r="A1063" s="8" t="str">
        <f t="shared" ca="1" si="17"/>
        <v/>
      </c>
      <c r="B1063" s="12"/>
      <c r="C1063" s="4"/>
      <c r="D1063" s="11"/>
      <c r="E1063" s="2"/>
    </row>
    <row r="1064" spans="1:5">
      <c r="A1064" s="8" t="str">
        <f t="shared" ca="1" si="17"/>
        <v/>
      </c>
      <c r="B1064" s="12"/>
      <c r="C1064" s="4"/>
      <c r="D1064" s="11"/>
      <c r="E1064" s="2"/>
    </row>
    <row r="1065" spans="1:5">
      <c r="A1065" s="8" t="str">
        <f t="shared" ca="1" si="17"/>
        <v/>
      </c>
      <c r="B1065" s="12"/>
      <c r="C1065" s="4"/>
      <c r="D1065" s="11"/>
      <c r="E1065" s="2"/>
    </row>
    <row r="1066" spans="1:5">
      <c r="A1066" s="8" t="str">
        <f t="shared" ca="1" si="17"/>
        <v/>
      </c>
      <c r="B1066" s="12"/>
      <c r="C1066" s="4"/>
      <c r="D1066" s="11"/>
      <c r="E1066" s="2"/>
    </row>
    <row r="1067" spans="1:5">
      <c r="A1067" s="8" t="str">
        <f t="shared" ca="1" si="17"/>
        <v/>
      </c>
      <c r="B1067" s="12"/>
      <c r="C1067" s="4"/>
      <c r="D1067" s="11"/>
      <c r="E1067" s="2"/>
    </row>
    <row r="1068" spans="1:5">
      <c r="A1068" s="8" t="str">
        <f t="shared" ca="1" si="17"/>
        <v/>
      </c>
      <c r="B1068" s="12"/>
      <c r="C1068" s="4"/>
      <c r="D1068" s="11"/>
      <c r="E1068" s="2"/>
    </row>
    <row r="1069" spans="1:5">
      <c r="A1069" s="8" t="str">
        <f t="shared" ca="1" si="17"/>
        <v/>
      </c>
      <c r="B1069" s="12"/>
      <c r="C1069" s="4"/>
      <c r="D1069" s="11"/>
      <c r="E1069" s="2"/>
    </row>
    <row r="1070" spans="1:5">
      <c r="A1070" s="8" t="str">
        <f t="shared" ca="1" si="17"/>
        <v/>
      </c>
      <c r="B1070" s="12"/>
      <c r="C1070" s="4"/>
      <c r="D1070" s="11"/>
      <c r="E1070" s="2"/>
    </row>
    <row r="1071" spans="1:5">
      <c r="A1071" s="8" t="str">
        <f t="shared" ca="1" si="17"/>
        <v/>
      </c>
      <c r="B1071" s="12"/>
      <c r="C1071" s="4"/>
      <c r="D1071" s="11"/>
      <c r="E1071" s="2"/>
    </row>
    <row r="1072" spans="1:5">
      <c r="A1072" s="8" t="str">
        <f t="shared" ca="1" si="17"/>
        <v/>
      </c>
      <c r="B1072" s="12"/>
      <c r="C1072" s="4"/>
      <c r="D1072" s="11"/>
      <c r="E1072" s="2"/>
    </row>
    <row r="1073" spans="1:5">
      <c r="A1073" s="8" t="str">
        <f t="shared" ca="1" si="17"/>
        <v/>
      </c>
      <c r="B1073" s="12"/>
      <c r="C1073" s="4"/>
      <c r="D1073" s="11"/>
      <c r="E1073" s="2"/>
    </row>
    <row r="1074" spans="1:5">
      <c r="A1074" s="8" t="str">
        <f t="shared" ca="1" si="17"/>
        <v/>
      </c>
      <c r="B1074" s="12"/>
      <c r="C1074" s="4"/>
      <c r="D1074" s="11"/>
      <c r="E1074" s="2"/>
    </row>
    <row r="1075" spans="1:5">
      <c r="A1075" s="8" t="str">
        <f t="shared" ca="1" si="17"/>
        <v/>
      </c>
      <c r="B1075" s="12"/>
      <c r="C1075" s="4"/>
      <c r="D1075" s="11"/>
      <c r="E1075" s="2"/>
    </row>
    <row r="1076" spans="1:5">
      <c r="A1076" s="8" t="str">
        <f t="shared" ca="1" si="17"/>
        <v/>
      </c>
      <c r="B1076" s="12"/>
      <c r="C1076" s="4"/>
      <c r="D1076" s="11"/>
      <c r="E1076" s="2"/>
    </row>
    <row r="1077" spans="1:5">
      <c r="A1077" s="8" t="str">
        <f t="shared" ca="1" si="17"/>
        <v/>
      </c>
      <c r="B1077" s="12"/>
      <c r="C1077" s="4"/>
      <c r="D1077" s="11"/>
      <c r="E1077" s="2"/>
    </row>
    <row r="1078" spans="1:5">
      <c r="A1078" s="8" t="str">
        <f t="shared" ca="1" si="17"/>
        <v/>
      </c>
      <c r="B1078" s="12"/>
      <c r="C1078" s="4"/>
      <c r="D1078" s="11"/>
      <c r="E1078" s="2"/>
    </row>
    <row r="1079" spans="1:5">
      <c r="A1079" s="8" t="str">
        <f t="shared" ca="1" si="17"/>
        <v/>
      </c>
      <c r="B1079" s="12"/>
      <c r="C1079" s="4"/>
      <c r="D1079" s="11"/>
      <c r="E1079" s="2"/>
    </row>
    <row r="1080" spans="1:5">
      <c r="A1080" s="8" t="str">
        <f t="shared" ca="1" si="17"/>
        <v/>
      </c>
      <c r="B1080" s="12"/>
      <c r="C1080" s="4"/>
      <c r="D1080" s="11"/>
      <c r="E1080" s="2"/>
    </row>
    <row r="1081" spans="1:5">
      <c r="A1081" s="8" t="str">
        <f t="shared" ca="1" si="17"/>
        <v/>
      </c>
      <c r="B1081" s="12"/>
      <c r="C1081" s="4"/>
      <c r="D1081" s="11"/>
      <c r="E1081" s="2"/>
    </row>
    <row r="1082" spans="1:5">
      <c r="A1082" s="8" t="str">
        <f t="shared" ca="1" si="17"/>
        <v/>
      </c>
      <c r="B1082" s="12"/>
      <c r="C1082" s="4"/>
      <c r="D1082" s="11"/>
      <c r="E1082" s="2"/>
    </row>
    <row r="1083" spans="1:5">
      <c r="A1083" s="8" t="str">
        <f t="shared" ca="1" si="17"/>
        <v/>
      </c>
      <c r="B1083" s="12"/>
      <c r="C1083" s="4"/>
      <c r="D1083" s="11"/>
      <c r="E1083" s="2"/>
    </row>
    <row r="1084" spans="1:5">
      <c r="A1084" s="8" t="str">
        <f t="shared" ca="1" si="17"/>
        <v/>
      </c>
      <c r="B1084" s="12"/>
      <c r="C1084" s="4"/>
      <c r="D1084" s="11"/>
      <c r="E1084" s="2"/>
    </row>
    <row r="1085" spans="1:5">
      <c r="A1085" s="8" t="str">
        <f t="shared" ca="1" si="17"/>
        <v/>
      </c>
      <c r="B1085" s="12"/>
      <c r="C1085" s="4"/>
      <c r="D1085" s="11"/>
      <c r="E1085" s="2"/>
    </row>
    <row r="1086" spans="1:5">
      <c r="A1086" s="8" t="str">
        <f t="shared" ca="1" si="17"/>
        <v/>
      </c>
      <c r="B1086" s="12"/>
      <c r="C1086" s="4"/>
      <c r="D1086" s="11"/>
      <c r="E1086" s="2"/>
    </row>
    <row r="1087" spans="1:5">
      <c r="A1087" s="8" t="str">
        <f t="shared" ca="1" si="17"/>
        <v/>
      </c>
      <c r="B1087" s="12"/>
      <c r="C1087" s="4"/>
      <c r="D1087" s="11"/>
      <c r="E1087" s="2"/>
    </row>
    <row r="1088" spans="1:5">
      <c r="A1088" s="8" t="str">
        <f t="shared" ca="1" si="17"/>
        <v/>
      </c>
      <c r="B1088" s="12"/>
      <c r="C1088" s="4"/>
      <c r="D1088" s="11"/>
      <c r="E1088" s="2"/>
    </row>
    <row r="1089" spans="1:5">
      <c r="A1089" s="8" t="str">
        <f t="shared" ca="1" si="17"/>
        <v/>
      </c>
      <c r="B1089" s="12"/>
      <c r="C1089" s="4"/>
      <c r="D1089" s="11"/>
      <c r="E1089" s="2"/>
    </row>
    <row r="1090" spans="1:5">
      <c r="A1090" s="8" t="str">
        <f t="shared" ca="1" si="17"/>
        <v/>
      </c>
      <c r="B1090" s="12"/>
      <c r="C1090" s="4"/>
      <c r="D1090" s="11"/>
      <c r="E1090" s="2"/>
    </row>
    <row r="1091" spans="1:5">
      <c r="A1091" s="8" t="str">
        <f t="shared" ca="1" si="17"/>
        <v/>
      </c>
      <c r="B1091" s="12"/>
      <c r="C1091" s="4"/>
      <c r="D1091" s="11"/>
      <c r="E1091" s="2"/>
    </row>
    <row r="1092" spans="1:5">
      <c r="A1092" s="8" t="str">
        <f t="shared" ca="1" si="17"/>
        <v/>
      </c>
      <c r="B1092" s="12"/>
      <c r="C1092" s="4"/>
      <c r="D1092" s="11"/>
      <c r="E1092" s="2"/>
    </row>
    <row r="1093" spans="1:5">
      <c r="A1093" s="8" t="str">
        <f t="shared" ca="1" si="17"/>
        <v/>
      </c>
      <c r="B1093" s="12"/>
      <c r="C1093" s="4"/>
      <c r="D1093" s="11"/>
      <c r="E1093" s="2"/>
    </row>
    <row r="1094" spans="1:5">
      <c r="A1094" s="8" t="str">
        <f t="shared" ca="1" si="17"/>
        <v/>
      </c>
      <c r="B1094" s="12"/>
      <c r="C1094" s="4"/>
      <c r="D1094" s="11"/>
      <c r="E1094" s="2"/>
    </row>
    <row r="1095" spans="1:5">
      <c r="A1095" s="8" t="str">
        <f t="shared" ca="1" si="17"/>
        <v/>
      </c>
      <c r="B1095" s="12"/>
      <c r="C1095" s="4"/>
      <c r="D1095" s="11"/>
      <c r="E1095" s="2"/>
    </row>
    <row r="1096" spans="1:5">
      <c r="A1096" s="8" t="str">
        <f t="shared" ca="1" si="17"/>
        <v/>
      </c>
      <c r="B1096" s="12"/>
      <c r="C1096" s="4"/>
      <c r="D1096" s="11"/>
      <c r="E1096" s="2"/>
    </row>
    <row r="1097" spans="1:5">
      <c r="A1097" s="8" t="str">
        <f t="shared" ca="1" si="17"/>
        <v/>
      </c>
      <c r="B1097" s="12"/>
      <c r="C1097" s="4"/>
      <c r="D1097" s="11"/>
      <c r="E1097" s="2"/>
    </row>
    <row r="1098" spans="1:5">
      <c r="A1098" s="8" t="str">
        <f t="shared" ref="A1098:A1161" ca="1" si="18">IF(B1098="","",IF(A1098="",TODAY(),A1098))</f>
        <v/>
      </c>
      <c r="B1098" s="12"/>
      <c r="C1098" s="4"/>
      <c r="D1098" s="11"/>
      <c r="E1098" s="2"/>
    </row>
    <row r="1099" spans="1:5">
      <c r="A1099" s="8" t="str">
        <f t="shared" ca="1" si="18"/>
        <v/>
      </c>
      <c r="B1099" s="12"/>
      <c r="C1099" s="4"/>
      <c r="D1099" s="11"/>
      <c r="E1099" s="2"/>
    </row>
    <row r="1100" spans="1:5">
      <c r="A1100" s="8" t="str">
        <f t="shared" ca="1" si="18"/>
        <v/>
      </c>
      <c r="B1100" s="12"/>
      <c r="C1100" s="4"/>
      <c r="D1100" s="11"/>
      <c r="E1100" s="2"/>
    </row>
    <row r="1101" spans="1:5">
      <c r="A1101" s="8" t="str">
        <f t="shared" ca="1" si="18"/>
        <v/>
      </c>
      <c r="B1101" s="12"/>
      <c r="C1101" s="4"/>
      <c r="D1101" s="11"/>
      <c r="E1101" s="2"/>
    </row>
    <row r="1102" spans="1:5">
      <c r="A1102" s="8" t="str">
        <f t="shared" ca="1" si="18"/>
        <v/>
      </c>
      <c r="B1102" s="12"/>
      <c r="C1102" s="4"/>
      <c r="D1102" s="11"/>
      <c r="E1102" s="2"/>
    </row>
    <row r="1103" spans="1:5">
      <c r="A1103" s="8" t="str">
        <f t="shared" ca="1" si="18"/>
        <v/>
      </c>
      <c r="B1103" s="12"/>
      <c r="C1103" s="4"/>
      <c r="D1103" s="11"/>
      <c r="E1103" s="2"/>
    </row>
    <row r="1104" spans="1:5">
      <c r="A1104" s="8" t="str">
        <f t="shared" ca="1" si="18"/>
        <v/>
      </c>
      <c r="B1104" s="12"/>
      <c r="C1104" s="4"/>
      <c r="D1104" s="11"/>
      <c r="E1104" s="2"/>
    </row>
    <row r="1105" spans="1:5">
      <c r="A1105" s="8" t="str">
        <f t="shared" ca="1" si="18"/>
        <v/>
      </c>
      <c r="B1105" s="12"/>
      <c r="C1105" s="4"/>
      <c r="D1105" s="11"/>
      <c r="E1105" s="2"/>
    </row>
    <row r="1106" spans="1:5">
      <c r="A1106" s="8" t="str">
        <f t="shared" ca="1" si="18"/>
        <v/>
      </c>
      <c r="B1106" s="12"/>
      <c r="C1106" s="4"/>
      <c r="D1106" s="11"/>
      <c r="E1106" s="2"/>
    </row>
    <row r="1107" spans="1:5">
      <c r="A1107" s="8" t="str">
        <f t="shared" ca="1" si="18"/>
        <v/>
      </c>
      <c r="B1107" s="12"/>
      <c r="C1107" s="4"/>
      <c r="D1107" s="11"/>
      <c r="E1107" s="2"/>
    </row>
    <row r="1108" spans="1:5">
      <c r="A1108" s="8" t="str">
        <f t="shared" ca="1" si="18"/>
        <v/>
      </c>
      <c r="B1108" s="12"/>
      <c r="C1108" s="4"/>
      <c r="D1108" s="11"/>
      <c r="E1108" s="2"/>
    </row>
    <row r="1109" spans="1:5">
      <c r="A1109" s="8" t="str">
        <f t="shared" ca="1" si="18"/>
        <v/>
      </c>
      <c r="B1109" s="12"/>
      <c r="C1109" s="4"/>
      <c r="D1109" s="11"/>
      <c r="E1109" s="2"/>
    </row>
    <row r="1110" spans="1:5">
      <c r="A1110" s="8" t="str">
        <f t="shared" ca="1" si="18"/>
        <v/>
      </c>
      <c r="B1110" s="12"/>
      <c r="C1110" s="4"/>
      <c r="D1110" s="11"/>
      <c r="E1110" s="2"/>
    </row>
    <row r="1111" spans="1:5">
      <c r="A1111" s="8" t="str">
        <f t="shared" ca="1" si="18"/>
        <v/>
      </c>
      <c r="B1111" s="12"/>
      <c r="C1111" s="4"/>
      <c r="D1111" s="11"/>
      <c r="E1111" s="2"/>
    </row>
    <row r="1112" spans="1:5">
      <c r="A1112" s="8" t="str">
        <f t="shared" ca="1" si="18"/>
        <v/>
      </c>
      <c r="B1112" s="12"/>
      <c r="C1112" s="4"/>
      <c r="D1112" s="11"/>
      <c r="E1112" s="2"/>
    </row>
    <row r="1113" spans="1:5">
      <c r="A1113" s="8" t="str">
        <f t="shared" ca="1" si="18"/>
        <v/>
      </c>
      <c r="B1113" s="12"/>
      <c r="C1113" s="4"/>
      <c r="D1113" s="11"/>
      <c r="E1113" s="2"/>
    </row>
    <row r="1114" spans="1:5">
      <c r="A1114" s="8" t="str">
        <f t="shared" ca="1" si="18"/>
        <v/>
      </c>
      <c r="B1114" s="12"/>
      <c r="C1114" s="4"/>
      <c r="D1114" s="11"/>
      <c r="E1114" s="2"/>
    </row>
    <row r="1115" spans="1:5">
      <c r="A1115" s="8" t="str">
        <f t="shared" ca="1" si="18"/>
        <v/>
      </c>
      <c r="B1115" s="12"/>
      <c r="C1115" s="4"/>
      <c r="D1115" s="11"/>
      <c r="E1115" s="2"/>
    </row>
    <row r="1116" spans="1:5">
      <c r="A1116" s="8" t="str">
        <f t="shared" ca="1" si="18"/>
        <v/>
      </c>
      <c r="B1116" s="12"/>
      <c r="C1116" s="4"/>
      <c r="D1116" s="11"/>
      <c r="E1116" s="2"/>
    </row>
    <row r="1117" spans="1:5">
      <c r="A1117" s="8" t="str">
        <f t="shared" ca="1" si="18"/>
        <v/>
      </c>
      <c r="B1117" s="12"/>
      <c r="C1117" s="4"/>
      <c r="D1117" s="11"/>
      <c r="E1117" s="2"/>
    </row>
    <row r="1118" spans="1:5">
      <c r="A1118" s="8" t="str">
        <f t="shared" ca="1" si="18"/>
        <v/>
      </c>
      <c r="B1118" s="12"/>
      <c r="C1118" s="4"/>
      <c r="D1118" s="11"/>
      <c r="E1118" s="2"/>
    </row>
    <row r="1119" spans="1:5">
      <c r="A1119" s="8" t="str">
        <f t="shared" ca="1" si="18"/>
        <v/>
      </c>
      <c r="B1119" s="12"/>
      <c r="C1119" s="4"/>
      <c r="D1119" s="11"/>
      <c r="E1119" s="2"/>
    </row>
    <row r="1120" spans="1:5">
      <c r="A1120" s="8" t="str">
        <f t="shared" ca="1" si="18"/>
        <v/>
      </c>
      <c r="B1120" s="12"/>
      <c r="C1120" s="4"/>
      <c r="D1120" s="11"/>
      <c r="E1120" s="2"/>
    </row>
    <row r="1121" spans="1:5">
      <c r="A1121" s="8" t="str">
        <f t="shared" ca="1" si="18"/>
        <v/>
      </c>
      <c r="B1121" s="12"/>
      <c r="C1121" s="4"/>
      <c r="D1121" s="11"/>
      <c r="E1121" s="2"/>
    </row>
    <row r="1122" spans="1:5">
      <c r="A1122" s="8" t="str">
        <f t="shared" ca="1" si="18"/>
        <v/>
      </c>
      <c r="B1122" s="12"/>
      <c r="C1122" s="4"/>
      <c r="D1122" s="11"/>
      <c r="E1122" s="2"/>
    </row>
    <row r="1123" spans="1:5">
      <c r="A1123" s="8" t="str">
        <f t="shared" ca="1" si="18"/>
        <v/>
      </c>
      <c r="B1123" s="12"/>
      <c r="C1123" s="4"/>
      <c r="D1123" s="11"/>
      <c r="E1123" s="2"/>
    </row>
    <row r="1124" spans="1:5">
      <c r="A1124" s="8" t="str">
        <f t="shared" ca="1" si="18"/>
        <v/>
      </c>
      <c r="B1124" s="12"/>
      <c r="C1124" s="4"/>
      <c r="D1124" s="11"/>
      <c r="E1124" s="2"/>
    </row>
    <row r="1125" spans="1:5">
      <c r="A1125" s="8" t="str">
        <f t="shared" ca="1" si="18"/>
        <v/>
      </c>
      <c r="B1125" s="12"/>
      <c r="C1125" s="4"/>
      <c r="D1125" s="11"/>
      <c r="E1125" s="2"/>
    </row>
    <row r="1126" spans="1:5">
      <c r="A1126" s="8" t="str">
        <f t="shared" ca="1" si="18"/>
        <v/>
      </c>
      <c r="B1126" s="12"/>
      <c r="C1126" s="4"/>
      <c r="D1126" s="11"/>
      <c r="E1126" s="2"/>
    </row>
    <row r="1127" spans="1:5">
      <c r="A1127" s="8" t="str">
        <f t="shared" ca="1" si="18"/>
        <v/>
      </c>
      <c r="B1127" s="12"/>
      <c r="C1127" s="4"/>
      <c r="D1127" s="11"/>
      <c r="E1127" s="2"/>
    </row>
    <row r="1128" spans="1:5">
      <c r="A1128" s="8" t="str">
        <f t="shared" ca="1" si="18"/>
        <v/>
      </c>
      <c r="B1128" s="12"/>
      <c r="C1128" s="4"/>
      <c r="D1128" s="11"/>
      <c r="E1128" s="2"/>
    </row>
    <row r="1129" spans="1:5">
      <c r="A1129" s="8" t="str">
        <f t="shared" ca="1" si="18"/>
        <v/>
      </c>
      <c r="B1129" s="12"/>
      <c r="C1129" s="4"/>
      <c r="D1129" s="11"/>
      <c r="E1129" s="2"/>
    </row>
    <row r="1130" spans="1:5">
      <c r="A1130" s="8" t="str">
        <f t="shared" ca="1" si="18"/>
        <v/>
      </c>
      <c r="B1130" s="12"/>
      <c r="C1130" s="4"/>
      <c r="D1130" s="11"/>
      <c r="E1130" s="2"/>
    </row>
    <row r="1131" spans="1:5">
      <c r="A1131" s="8" t="str">
        <f t="shared" ca="1" si="18"/>
        <v/>
      </c>
      <c r="B1131" s="12"/>
      <c r="C1131" s="4"/>
      <c r="D1131" s="11"/>
      <c r="E1131" s="2"/>
    </row>
    <row r="1132" spans="1:5">
      <c r="A1132" s="8" t="str">
        <f t="shared" ca="1" si="18"/>
        <v/>
      </c>
      <c r="B1132" s="12"/>
      <c r="C1132" s="4"/>
      <c r="D1132" s="11"/>
      <c r="E1132" s="2"/>
    </row>
    <row r="1133" spans="1:5">
      <c r="A1133" s="8" t="str">
        <f t="shared" ca="1" si="18"/>
        <v/>
      </c>
      <c r="B1133" s="12"/>
      <c r="C1133" s="4"/>
      <c r="D1133" s="11"/>
      <c r="E1133" s="2"/>
    </row>
    <row r="1134" spans="1:5">
      <c r="A1134" s="8" t="str">
        <f t="shared" ca="1" si="18"/>
        <v/>
      </c>
      <c r="B1134" s="12"/>
      <c r="C1134" s="4"/>
      <c r="D1134" s="11"/>
      <c r="E1134" s="2"/>
    </row>
    <row r="1135" spans="1:5">
      <c r="A1135" s="8" t="str">
        <f t="shared" ca="1" si="18"/>
        <v/>
      </c>
      <c r="B1135" s="12"/>
      <c r="C1135" s="4"/>
      <c r="D1135" s="11"/>
      <c r="E1135" s="2"/>
    </row>
    <row r="1136" spans="1:5">
      <c r="A1136" s="8" t="str">
        <f t="shared" ca="1" si="18"/>
        <v/>
      </c>
      <c r="B1136" s="12"/>
      <c r="C1136" s="4"/>
      <c r="D1136" s="11"/>
      <c r="E1136" s="2"/>
    </row>
    <row r="1137" spans="1:5">
      <c r="A1137" s="8" t="str">
        <f t="shared" ca="1" si="18"/>
        <v/>
      </c>
      <c r="B1137" s="12"/>
      <c r="C1137" s="4"/>
      <c r="D1137" s="11"/>
      <c r="E1137" s="2"/>
    </row>
    <row r="1138" spans="1:5">
      <c r="A1138" s="8" t="str">
        <f t="shared" ca="1" si="18"/>
        <v/>
      </c>
      <c r="B1138" s="12"/>
      <c r="C1138" s="4"/>
      <c r="D1138" s="11"/>
      <c r="E1138" s="2"/>
    </row>
    <row r="1139" spans="1:5">
      <c r="A1139" s="8" t="str">
        <f t="shared" ca="1" si="18"/>
        <v/>
      </c>
      <c r="B1139" s="12"/>
      <c r="C1139" s="4"/>
      <c r="D1139" s="11"/>
      <c r="E1139" s="2"/>
    </row>
    <row r="1140" spans="1:5">
      <c r="A1140" s="8" t="str">
        <f t="shared" ca="1" si="18"/>
        <v/>
      </c>
      <c r="B1140" s="12"/>
      <c r="C1140" s="4"/>
      <c r="D1140" s="11"/>
      <c r="E1140" s="2"/>
    </row>
    <row r="1141" spans="1:5">
      <c r="A1141" s="8" t="str">
        <f t="shared" ca="1" si="18"/>
        <v/>
      </c>
      <c r="B1141" s="12"/>
      <c r="C1141" s="4"/>
      <c r="D1141" s="11"/>
      <c r="E1141" s="2"/>
    </row>
    <row r="1142" spans="1:5">
      <c r="A1142" s="8" t="str">
        <f t="shared" ca="1" si="18"/>
        <v/>
      </c>
      <c r="B1142" s="12"/>
      <c r="C1142" s="4"/>
      <c r="D1142" s="11"/>
      <c r="E1142" s="2"/>
    </row>
    <row r="1143" spans="1:5">
      <c r="A1143" s="8" t="str">
        <f t="shared" ca="1" si="18"/>
        <v/>
      </c>
      <c r="B1143" s="12"/>
      <c r="C1143" s="4"/>
      <c r="D1143" s="11"/>
      <c r="E1143" s="2"/>
    </row>
    <row r="1144" spans="1:5">
      <c r="A1144" s="8" t="str">
        <f t="shared" ca="1" si="18"/>
        <v/>
      </c>
      <c r="B1144" s="12"/>
      <c r="C1144" s="4"/>
      <c r="D1144" s="11"/>
      <c r="E1144" s="2"/>
    </row>
    <row r="1145" spans="1:5">
      <c r="A1145" s="8" t="str">
        <f t="shared" ca="1" si="18"/>
        <v/>
      </c>
      <c r="B1145" s="12"/>
      <c r="C1145" s="4"/>
      <c r="D1145" s="11"/>
      <c r="E1145" s="2"/>
    </row>
    <row r="1146" spans="1:5">
      <c r="A1146" s="8" t="str">
        <f t="shared" ca="1" si="18"/>
        <v/>
      </c>
      <c r="B1146" s="12"/>
      <c r="C1146" s="4"/>
      <c r="D1146" s="11"/>
      <c r="E1146" s="2"/>
    </row>
    <row r="1147" spans="1:5">
      <c r="A1147" s="8" t="str">
        <f t="shared" ca="1" si="18"/>
        <v/>
      </c>
      <c r="B1147" s="12"/>
      <c r="C1147" s="4"/>
      <c r="D1147" s="11"/>
      <c r="E1147" s="2"/>
    </row>
    <row r="1148" spans="1:5">
      <c r="A1148" s="8" t="str">
        <f t="shared" ca="1" si="18"/>
        <v/>
      </c>
      <c r="B1148" s="12"/>
      <c r="C1148" s="4"/>
      <c r="D1148" s="11"/>
      <c r="E1148" s="2"/>
    </row>
    <row r="1149" spans="1:5">
      <c r="A1149" s="8" t="str">
        <f t="shared" ca="1" si="18"/>
        <v/>
      </c>
      <c r="B1149" s="12"/>
      <c r="C1149" s="4"/>
      <c r="D1149" s="11"/>
      <c r="E1149" s="2"/>
    </row>
    <row r="1150" spans="1:5">
      <c r="A1150" s="8" t="str">
        <f t="shared" ca="1" si="18"/>
        <v/>
      </c>
      <c r="B1150" s="12"/>
      <c r="C1150" s="4"/>
      <c r="D1150" s="11"/>
      <c r="E1150" s="2"/>
    </row>
    <row r="1151" spans="1:5">
      <c r="A1151" s="8" t="str">
        <f t="shared" ca="1" si="18"/>
        <v/>
      </c>
      <c r="B1151" s="12"/>
      <c r="C1151" s="4"/>
      <c r="D1151" s="11"/>
      <c r="E1151" s="2"/>
    </row>
    <row r="1152" spans="1:5">
      <c r="A1152" s="8" t="str">
        <f t="shared" ca="1" si="18"/>
        <v/>
      </c>
      <c r="B1152" s="12"/>
      <c r="C1152" s="4"/>
      <c r="D1152" s="11"/>
      <c r="E1152" s="2"/>
    </row>
    <row r="1153" spans="1:5">
      <c r="A1153" s="8" t="str">
        <f t="shared" ca="1" si="18"/>
        <v/>
      </c>
      <c r="B1153" s="12"/>
      <c r="C1153" s="4"/>
      <c r="D1153" s="11"/>
      <c r="E1153" s="2"/>
    </row>
    <row r="1154" spans="1:5">
      <c r="A1154" s="8" t="str">
        <f t="shared" ca="1" si="18"/>
        <v/>
      </c>
      <c r="B1154" s="12"/>
      <c r="C1154" s="4"/>
      <c r="D1154" s="11"/>
      <c r="E1154" s="2"/>
    </row>
    <row r="1155" spans="1:5">
      <c r="A1155" s="8" t="str">
        <f t="shared" ca="1" si="18"/>
        <v/>
      </c>
      <c r="B1155" s="12"/>
      <c r="C1155" s="4"/>
      <c r="D1155" s="11"/>
      <c r="E1155" s="2"/>
    </row>
    <row r="1156" spans="1:5">
      <c r="A1156" s="8" t="str">
        <f t="shared" ca="1" si="18"/>
        <v/>
      </c>
      <c r="B1156" s="12"/>
      <c r="C1156" s="4"/>
      <c r="D1156" s="11"/>
      <c r="E1156" s="2"/>
    </row>
    <row r="1157" spans="1:5">
      <c r="A1157" s="8" t="str">
        <f t="shared" ca="1" si="18"/>
        <v/>
      </c>
      <c r="B1157" s="12"/>
      <c r="C1157" s="4"/>
      <c r="D1157" s="11"/>
      <c r="E1157" s="2"/>
    </row>
    <row r="1158" spans="1:5">
      <c r="A1158" s="8" t="str">
        <f t="shared" ca="1" si="18"/>
        <v/>
      </c>
      <c r="B1158" s="12"/>
      <c r="C1158" s="4"/>
      <c r="D1158" s="11"/>
      <c r="E1158" s="2"/>
    </row>
    <row r="1159" spans="1:5">
      <c r="A1159" s="8" t="str">
        <f t="shared" ca="1" si="18"/>
        <v/>
      </c>
      <c r="B1159" s="12"/>
      <c r="C1159" s="4"/>
      <c r="D1159" s="11"/>
      <c r="E1159" s="2"/>
    </row>
    <row r="1160" spans="1:5">
      <c r="A1160" s="8" t="str">
        <f t="shared" ca="1" si="18"/>
        <v/>
      </c>
      <c r="B1160" s="12"/>
      <c r="C1160" s="4"/>
      <c r="D1160" s="11"/>
      <c r="E1160" s="2"/>
    </row>
    <row r="1161" spans="1:5">
      <c r="A1161" s="8" t="str">
        <f t="shared" ca="1" si="18"/>
        <v/>
      </c>
      <c r="B1161" s="12"/>
      <c r="C1161" s="4"/>
      <c r="D1161" s="11"/>
      <c r="E1161" s="2"/>
    </row>
    <row r="1162" spans="1:5">
      <c r="A1162" s="8" t="str">
        <f t="shared" ref="A1162:A1225" ca="1" si="19">IF(B1162="","",IF(A1162="",TODAY(),A1162))</f>
        <v/>
      </c>
      <c r="B1162" s="12"/>
      <c r="C1162" s="4"/>
      <c r="D1162" s="11"/>
      <c r="E1162" s="2"/>
    </row>
    <row r="1163" spans="1:5">
      <c r="A1163" s="8" t="str">
        <f t="shared" ca="1" si="19"/>
        <v/>
      </c>
      <c r="B1163" s="12"/>
      <c r="C1163" s="4"/>
      <c r="D1163" s="11"/>
      <c r="E1163" s="2"/>
    </row>
    <row r="1164" spans="1:5">
      <c r="A1164" s="8" t="str">
        <f t="shared" ca="1" si="19"/>
        <v/>
      </c>
      <c r="B1164" s="12"/>
      <c r="C1164" s="4"/>
      <c r="D1164" s="11"/>
      <c r="E1164" s="2"/>
    </row>
    <row r="1165" spans="1:5">
      <c r="A1165" s="8" t="str">
        <f t="shared" ca="1" si="19"/>
        <v/>
      </c>
      <c r="B1165" s="12"/>
      <c r="C1165" s="4"/>
      <c r="D1165" s="11"/>
      <c r="E1165" s="2"/>
    </row>
    <row r="1166" spans="1:5">
      <c r="A1166" s="8" t="str">
        <f t="shared" ca="1" si="19"/>
        <v/>
      </c>
      <c r="B1166" s="12"/>
      <c r="C1166" s="4"/>
      <c r="D1166" s="11"/>
      <c r="E1166" s="2"/>
    </row>
    <row r="1167" spans="1:5">
      <c r="A1167" s="8" t="str">
        <f t="shared" ca="1" si="19"/>
        <v/>
      </c>
      <c r="B1167" s="12"/>
      <c r="C1167" s="4"/>
      <c r="D1167" s="11"/>
      <c r="E1167" s="2"/>
    </row>
    <row r="1168" spans="1:5">
      <c r="A1168" s="8" t="str">
        <f t="shared" ca="1" si="19"/>
        <v/>
      </c>
      <c r="B1168" s="12"/>
      <c r="C1168" s="4"/>
      <c r="D1168" s="11"/>
      <c r="E1168" s="2"/>
    </row>
    <row r="1169" spans="1:5">
      <c r="A1169" s="8" t="str">
        <f t="shared" ca="1" si="19"/>
        <v/>
      </c>
      <c r="B1169" s="12"/>
      <c r="C1169" s="4"/>
      <c r="D1169" s="11"/>
      <c r="E1169" s="2"/>
    </row>
    <row r="1170" spans="1:5">
      <c r="A1170" s="8" t="str">
        <f t="shared" ca="1" si="19"/>
        <v/>
      </c>
      <c r="B1170" s="12"/>
      <c r="C1170" s="4"/>
      <c r="D1170" s="11"/>
      <c r="E1170" s="2"/>
    </row>
    <row r="1171" spans="1:5">
      <c r="A1171" s="8" t="str">
        <f t="shared" ca="1" si="19"/>
        <v/>
      </c>
      <c r="B1171" s="12"/>
      <c r="C1171" s="4"/>
      <c r="D1171" s="11"/>
      <c r="E1171" s="2"/>
    </row>
    <row r="1172" spans="1:5">
      <c r="A1172" s="8" t="str">
        <f t="shared" ca="1" si="19"/>
        <v/>
      </c>
      <c r="B1172" s="12"/>
      <c r="C1172" s="4"/>
      <c r="D1172" s="11"/>
      <c r="E1172" s="2"/>
    </row>
    <row r="1173" spans="1:5">
      <c r="A1173" s="8" t="str">
        <f t="shared" ca="1" si="19"/>
        <v/>
      </c>
      <c r="B1173" s="12"/>
      <c r="C1173" s="4"/>
      <c r="D1173" s="11"/>
      <c r="E1173" s="2"/>
    </row>
    <row r="1174" spans="1:5">
      <c r="A1174" s="8" t="str">
        <f t="shared" ca="1" si="19"/>
        <v/>
      </c>
      <c r="B1174" s="12"/>
      <c r="C1174" s="4"/>
      <c r="D1174" s="11"/>
      <c r="E1174" s="2"/>
    </row>
    <row r="1175" spans="1:5">
      <c r="A1175" s="8" t="str">
        <f t="shared" ca="1" si="19"/>
        <v/>
      </c>
      <c r="B1175" s="12"/>
      <c r="C1175" s="4"/>
      <c r="D1175" s="11"/>
      <c r="E1175" s="2"/>
    </row>
    <row r="1176" spans="1:5">
      <c r="A1176" s="8" t="str">
        <f t="shared" ca="1" si="19"/>
        <v/>
      </c>
      <c r="B1176" s="12"/>
      <c r="C1176" s="4"/>
      <c r="D1176" s="11"/>
      <c r="E1176" s="2"/>
    </row>
    <row r="1177" spans="1:5">
      <c r="A1177" s="8" t="str">
        <f t="shared" ca="1" si="19"/>
        <v/>
      </c>
      <c r="B1177" s="12"/>
      <c r="C1177" s="4"/>
      <c r="D1177" s="11"/>
      <c r="E1177" s="2"/>
    </row>
    <row r="1178" spans="1:5">
      <c r="A1178" s="8" t="str">
        <f t="shared" ca="1" si="19"/>
        <v/>
      </c>
      <c r="B1178" s="12"/>
      <c r="C1178" s="4"/>
      <c r="D1178" s="11"/>
      <c r="E1178" s="2"/>
    </row>
    <row r="1179" spans="1:5">
      <c r="A1179" s="8" t="str">
        <f t="shared" ca="1" si="19"/>
        <v/>
      </c>
      <c r="B1179" s="12"/>
      <c r="C1179" s="4"/>
      <c r="D1179" s="11"/>
      <c r="E1179" s="2"/>
    </row>
    <row r="1180" spans="1:5">
      <c r="A1180" s="8" t="str">
        <f t="shared" ca="1" si="19"/>
        <v/>
      </c>
      <c r="B1180" s="12"/>
      <c r="C1180" s="4"/>
      <c r="D1180" s="11"/>
      <c r="E1180" s="2"/>
    </row>
    <row r="1181" spans="1:5">
      <c r="A1181" s="8" t="str">
        <f t="shared" ca="1" si="19"/>
        <v/>
      </c>
      <c r="B1181" s="12"/>
      <c r="C1181" s="4"/>
      <c r="D1181" s="11"/>
      <c r="E1181" s="2"/>
    </row>
    <row r="1182" spans="1:5">
      <c r="A1182" s="8" t="str">
        <f t="shared" ca="1" si="19"/>
        <v/>
      </c>
      <c r="B1182" s="12"/>
      <c r="C1182" s="4"/>
      <c r="D1182" s="11"/>
      <c r="E1182" s="2"/>
    </row>
    <row r="1183" spans="1:5">
      <c r="A1183" s="8" t="str">
        <f t="shared" ca="1" si="19"/>
        <v/>
      </c>
      <c r="B1183" s="12"/>
      <c r="C1183" s="4"/>
      <c r="D1183" s="11"/>
      <c r="E1183" s="2"/>
    </row>
    <row r="1184" spans="1:5">
      <c r="A1184" s="8" t="str">
        <f t="shared" ca="1" si="19"/>
        <v/>
      </c>
      <c r="B1184" s="12"/>
      <c r="C1184" s="4"/>
      <c r="D1184" s="11"/>
      <c r="E1184" s="2"/>
    </row>
    <row r="1185" spans="1:5">
      <c r="A1185" s="8" t="str">
        <f t="shared" ca="1" si="19"/>
        <v/>
      </c>
      <c r="B1185" s="12"/>
      <c r="C1185" s="4"/>
      <c r="D1185" s="11"/>
      <c r="E1185" s="2"/>
    </row>
    <row r="1186" spans="1:5">
      <c r="A1186" s="8" t="str">
        <f t="shared" ca="1" si="19"/>
        <v/>
      </c>
      <c r="B1186" s="12"/>
      <c r="C1186" s="4"/>
      <c r="D1186" s="11"/>
      <c r="E1186" s="2"/>
    </row>
    <row r="1187" spans="1:5">
      <c r="A1187" s="8" t="str">
        <f t="shared" ca="1" si="19"/>
        <v/>
      </c>
      <c r="B1187" s="12"/>
      <c r="C1187" s="4"/>
      <c r="D1187" s="11"/>
      <c r="E1187" s="2"/>
    </row>
    <row r="1188" spans="1:5">
      <c r="A1188" s="8" t="str">
        <f t="shared" ca="1" si="19"/>
        <v/>
      </c>
      <c r="B1188" s="12"/>
      <c r="C1188" s="4"/>
      <c r="D1188" s="11"/>
      <c r="E1188" s="2"/>
    </row>
    <row r="1189" spans="1:5">
      <c r="A1189" s="8" t="str">
        <f t="shared" ca="1" si="19"/>
        <v/>
      </c>
      <c r="B1189" s="12"/>
      <c r="C1189" s="4"/>
      <c r="D1189" s="11"/>
      <c r="E1189" s="2"/>
    </row>
    <row r="1190" spans="1:5">
      <c r="A1190" s="8" t="str">
        <f t="shared" ca="1" si="19"/>
        <v/>
      </c>
      <c r="B1190" s="12"/>
      <c r="C1190" s="4"/>
      <c r="D1190" s="11"/>
      <c r="E1190" s="2"/>
    </row>
    <row r="1191" spans="1:5">
      <c r="A1191" s="8" t="str">
        <f t="shared" ca="1" si="19"/>
        <v/>
      </c>
      <c r="B1191" s="12"/>
      <c r="C1191" s="4"/>
      <c r="D1191" s="11"/>
      <c r="E1191" s="2"/>
    </row>
    <row r="1192" spans="1:5">
      <c r="A1192" s="8" t="str">
        <f t="shared" ca="1" si="19"/>
        <v/>
      </c>
      <c r="B1192" s="12"/>
      <c r="C1192" s="4"/>
      <c r="D1192" s="11"/>
      <c r="E1192" s="2"/>
    </row>
    <row r="1193" spans="1:5">
      <c r="A1193" s="8" t="str">
        <f t="shared" ca="1" si="19"/>
        <v/>
      </c>
      <c r="B1193" s="12"/>
      <c r="C1193" s="4"/>
      <c r="D1193" s="11"/>
      <c r="E1193" s="2"/>
    </row>
    <row r="1194" spans="1:5">
      <c r="A1194" s="8" t="str">
        <f t="shared" ca="1" si="19"/>
        <v/>
      </c>
      <c r="B1194" s="12"/>
      <c r="C1194" s="4"/>
      <c r="D1194" s="11"/>
      <c r="E1194" s="2"/>
    </row>
    <row r="1195" spans="1:5">
      <c r="A1195" s="8" t="str">
        <f t="shared" ca="1" si="19"/>
        <v/>
      </c>
      <c r="B1195" s="12"/>
      <c r="C1195" s="4"/>
      <c r="D1195" s="11"/>
      <c r="E1195" s="2"/>
    </row>
    <row r="1196" spans="1:5">
      <c r="A1196" s="8" t="str">
        <f t="shared" ca="1" si="19"/>
        <v/>
      </c>
      <c r="B1196" s="12"/>
      <c r="C1196" s="4"/>
      <c r="D1196" s="11"/>
      <c r="E1196" s="2"/>
    </row>
    <row r="1197" spans="1:5">
      <c r="A1197" s="8" t="str">
        <f t="shared" ca="1" si="19"/>
        <v/>
      </c>
      <c r="B1197" s="12"/>
      <c r="C1197" s="4"/>
      <c r="D1197" s="11"/>
      <c r="E1197" s="2"/>
    </row>
    <row r="1198" spans="1:5">
      <c r="A1198" s="8" t="str">
        <f t="shared" ca="1" si="19"/>
        <v/>
      </c>
      <c r="B1198" s="12"/>
      <c r="C1198" s="4"/>
      <c r="D1198" s="11"/>
      <c r="E1198" s="2"/>
    </row>
    <row r="1199" spans="1:5">
      <c r="A1199" s="8" t="str">
        <f t="shared" ca="1" si="19"/>
        <v/>
      </c>
      <c r="B1199" s="12"/>
      <c r="C1199" s="4"/>
      <c r="D1199" s="11"/>
      <c r="E1199" s="2"/>
    </row>
    <row r="1200" spans="1:5">
      <c r="A1200" s="8" t="str">
        <f t="shared" ca="1" si="19"/>
        <v/>
      </c>
      <c r="B1200" s="12"/>
      <c r="C1200" s="4"/>
      <c r="D1200" s="11"/>
      <c r="E1200" s="2"/>
    </row>
    <row r="1201" spans="1:5">
      <c r="A1201" s="8" t="str">
        <f t="shared" ca="1" si="19"/>
        <v/>
      </c>
      <c r="B1201" s="12"/>
      <c r="C1201" s="4"/>
      <c r="D1201" s="11"/>
      <c r="E1201" s="2"/>
    </row>
    <row r="1202" spans="1:5">
      <c r="A1202" s="8" t="str">
        <f t="shared" ca="1" si="19"/>
        <v/>
      </c>
      <c r="B1202" s="12"/>
      <c r="C1202" s="4"/>
      <c r="D1202" s="11"/>
      <c r="E1202" s="2"/>
    </row>
    <row r="1203" spans="1:5">
      <c r="A1203" s="8" t="str">
        <f t="shared" ca="1" si="19"/>
        <v/>
      </c>
      <c r="B1203" s="12"/>
      <c r="C1203" s="4"/>
      <c r="D1203" s="11"/>
      <c r="E1203" s="2"/>
    </row>
    <row r="1204" spans="1:5">
      <c r="A1204" s="8" t="str">
        <f t="shared" ca="1" si="19"/>
        <v/>
      </c>
      <c r="B1204" s="12"/>
      <c r="C1204" s="4"/>
      <c r="D1204" s="11"/>
      <c r="E1204" s="2"/>
    </row>
    <row r="1205" spans="1:5">
      <c r="A1205" s="8" t="str">
        <f t="shared" ca="1" si="19"/>
        <v/>
      </c>
      <c r="B1205" s="12"/>
      <c r="C1205" s="4"/>
      <c r="D1205" s="11"/>
      <c r="E1205" s="2"/>
    </row>
    <row r="1206" spans="1:5">
      <c r="A1206" s="8" t="str">
        <f t="shared" ca="1" si="19"/>
        <v/>
      </c>
      <c r="B1206" s="12"/>
      <c r="C1206" s="4"/>
      <c r="D1206" s="11"/>
      <c r="E1206" s="2"/>
    </row>
    <row r="1207" spans="1:5">
      <c r="A1207" s="8" t="str">
        <f t="shared" ca="1" si="19"/>
        <v/>
      </c>
      <c r="B1207" s="12"/>
      <c r="C1207" s="4"/>
      <c r="D1207" s="11"/>
      <c r="E1207" s="2"/>
    </row>
    <row r="1208" spans="1:5">
      <c r="A1208" s="8" t="str">
        <f t="shared" ca="1" si="19"/>
        <v/>
      </c>
      <c r="B1208" s="12"/>
      <c r="C1208" s="4"/>
      <c r="D1208" s="11"/>
      <c r="E1208" s="2"/>
    </row>
    <row r="1209" spans="1:5">
      <c r="A1209" s="8" t="str">
        <f t="shared" ca="1" si="19"/>
        <v/>
      </c>
      <c r="B1209" s="12"/>
      <c r="C1209" s="4"/>
      <c r="D1209" s="11"/>
      <c r="E1209" s="2"/>
    </row>
    <row r="1210" spans="1:5">
      <c r="A1210" s="8" t="str">
        <f t="shared" ca="1" si="19"/>
        <v/>
      </c>
      <c r="B1210" s="12"/>
      <c r="C1210" s="4"/>
      <c r="D1210" s="11"/>
      <c r="E1210" s="2"/>
    </row>
    <row r="1211" spans="1:5">
      <c r="A1211" s="8" t="str">
        <f t="shared" ca="1" si="19"/>
        <v/>
      </c>
      <c r="B1211" s="12"/>
      <c r="C1211" s="4"/>
      <c r="D1211" s="11"/>
      <c r="E1211" s="2"/>
    </row>
    <row r="1212" spans="1:5">
      <c r="A1212" s="8" t="str">
        <f t="shared" ca="1" si="19"/>
        <v/>
      </c>
      <c r="B1212" s="12"/>
      <c r="C1212" s="4"/>
      <c r="D1212" s="11"/>
      <c r="E1212" s="2"/>
    </row>
    <row r="1213" spans="1:5">
      <c r="A1213" s="8" t="str">
        <f t="shared" ca="1" si="19"/>
        <v/>
      </c>
      <c r="B1213" s="12"/>
      <c r="C1213" s="4"/>
      <c r="D1213" s="11"/>
      <c r="E1213" s="2"/>
    </row>
    <row r="1214" spans="1:5">
      <c r="A1214" s="8" t="str">
        <f t="shared" ca="1" si="19"/>
        <v/>
      </c>
      <c r="B1214" s="12"/>
      <c r="C1214" s="4"/>
      <c r="D1214" s="11"/>
      <c r="E1214" s="2"/>
    </row>
    <row r="1215" spans="1:5">
      <c r="A1215" s="8" t="str">
        <f t="shared" ca="1" si="19"/>
        <v/>
      </c>
      <c r="B1215" s="12"/>
      <c r="C1215" s="4"/>
      <c r="D1215" s="11"/>
      <c r="E1215" s="2"/>
    </row>
    <row r="1216" spans="1:5">
      <c r="A1216" s="8" t="str">
        <f t="shared" ca="1" si="19"/>
        <v/>
      </c>
      <c r="B1216" s="12"/>
      <c r="C1216" s="4"/>
      <c r="D1216" s="11"/>
      <c r="E1216" s="2"/>
    </row>
    <row r="1217" spans="1:5">
      <c r="A1217" s="8" t="str">
        <f t="shared" ca="1" si="19"/>
        <v/>
      </c>
      <c r="B1217" s="12"/>
      <c r="C1217" s="4"/>
      <c r="D1217" s="11"/>
      <c r="E1217" s="2"/>
    </row>
    <row r="1218" spans="1:5">
      <c r="A1218" s="8" t="str">
        <f t="shared" ca="1" si="19"/>
        <v/>
      </c>
      <c r="B1218" s="12"/>
      <c r="C1218" s="4"/>
      <c r="D1218" s="11"/>
      <c r="E1218" s="2"/>
    </row>
    <row r="1219" spans="1:5">
      <c r="A1219" s="8" t="str">
        <f t="shared" ca="1" si="19"/>
        <v/>
      </c>
      <c r="B1219" s="12"/>
      <c r="C1219" s="4"/>
      <c r="D1219" s="11"/>
      <c r="E1219" s="2"/>
    </row>
    <row r="1220" spans="1:5">
      <c r="A1220" s="8" t="str">
        <f t="shared" ca="1" si="19"/>
        <v/>
      </c>
      <c r="B1220" s="12"/>
      <c r="C1220" s="4"/>
      <c r="D1220" s="11"/>
      <c r="E1220" s="2"/>
    </row>
    <row r="1221" spans="1:5">
      <c r="A1221" s="8" t="str">
        <f t="shared" ca="1" si="19"/>
        <v/>
      </c>
      <c r="B1221" s="12"/>
      <c r="C1221" s="4"/>
      <c r="D1221" s="11"/>
      <c r="E1221" s="2"/>
    </row>
    <row r="1222" spans="1:5">
      <c r="A1222" s="8" t="str">
        <f t="shared" ca="1" si="19"/>
        <v/>
      </c>
      <c r="B1222" s="12"/>
      <c r="C1222" s="4"/>
      <c r="D1222" s="11"/>
      <c r="E1222" s="2"/>
    </row>
    <row r="1223" spans="1:5">
      <c r="A1223" s="8" t="str">
        <f t="shared" ca="1" si="19"/>
        <v/>
      </c>
      <c r="B1223" s="12"/>
      <c r="C1223" s="4"/>
      <c r="D1223" s="11"/>
      <c r="E1223" s="2"/>
    </row>
    <row r="1224" spans="1:5">
      <c r="A1224" s="8" t="str">
        <f t="shared" ca="1" si="19"/>
        <v/>
      </c>
      <c r="B1224" s="12"/>
      <c r="C1224" s="4"/>
      <c r="D1224" s="11"/>
      <c r="E1224" s="2"/>
    </row>
    <row r="1225" spans="1:5">
      <c r="A1225" s="8" t="str">
        <f t="shared" ca="1" si="19"/>
        <v/>
      </c>
      <c r="B1225" s="12"/>
      <c r="C1225" s="4"/>
      <c r="D1225" s="11"/>
      <c r="E1225" s="2"/>
    </row>
    <row r="1226" spans="1:5">
      <c r="A1226" s="8" t="str">
        <f t="shared" ref="A1226:A1289" ca="1" si="20">IF(B1226="","",IF(A1226="",TODAY(),A1226))</f>
        <v/>
      </c>
      <c r="B1226" s="12"/>
      <c r="C1226" s="4"/>
      <c r="D1226" s="11"/>
      <c r="E1226" s="2"/>
    </row>
    <row r="1227" spans="1:5">
      <c r="A1227" s="8" t="str">
        <f t="shared" ca="1" si="20"/>
        <v/>
      </c>
      <c r="B1227" s="12"/>
      <c r="C1227" s="4"/>
      <c r="D1227" s="11"/>
      <c r="E1227" s="2"/>
    </row>
    <row r="1228" spans="1:5">
      <c r="A1228" s="8" t="str">
        <f t="shared" ca="1" si="20"/>
        <v/>
      </c>
      <c r="B1228" s="12"/>
      <c r="C1228" s="4"/>
      <c r="D1228" s="11"/>
      <c r="E1228" s="2"/>
    </row>
    <row r="1229" spans="1:5">
      <c r="A1229" s="8" t="str">
        <f t="shared" ca="1" si="20"/>
        <v/>
      </c>
      <c r="B1229" s="12"/>
      <c r="C1229" s="4"/>
      <c r="D1229" s="11"/>
      <c r="E1229" s="2"/>
    </row>
    <row r="1230" spans="1:5">
      <c r="A1230" s="8" t="str">
        <f t="shared" ca="1" si="20"/>
        <v/>
      </c>
      <c r="B1230" s="12"/>
      <c r="C1230" s="4"/>
      <c r="D1230" s="11"/>
      <c r="E1230" s="2"/>
    </row>
    <row r="1231" spans="1:5">
      <c r="A1231" s="8" t="str">
        <f t="shared" ca="1" si="20"/>
        <v/>
      </c>
      <c r="B1231" s="12"/>
      <c r="C1231" s="4"/>
      <c r="D1231" s="11"/>
      <c r="E1231" s="2"/>
    </row>
    <row r="1232" spans="1:5">
      <c r="A1232" s="8" t="str">
        <f t="shared" ca="1" si="20"/>
        <v/>
      </c>
      <c r="B1232" s="12"/>
      <c r="C1232" s="4"/>
      <c r="D1232" s="11"/>
      <c r="E1232" s="2"/>
    </row>
    <row r="1233" spans="1:5">
      <c r="A1233" s="8" t="str">
        <f t="shared" ca="1" si="20"/>
        <v/>
      </c>
      <c r="B1233" s="12"/>
      <c r="C1233" s="4"/>
      <c r="D1233" s="11"/>
      <c r="E1233" s="2"/>
    </row>
    <row r="1234" spans="1:5">
      <c r="A1234" s="8" t="str">
        <f t="shared" ca="1" si="20"/>
        <v/>
      </c>
      <c r="B1234" s="12"/>
      <c r="C1234" s="4"/>
      <c r="D1234" s="11"/>
      <c r="E1234" s="2"/>
    </row>
    <row r="1235" spans="1:5">
      <c r="A1235" s="8" t="str">
        <f t="shared" ca="1" si="20"/>
        <v/>
      </c>
      <c r="B1235" s="12"/>
      <c r="C1235" s="4"/>
      <c r="D1235" s="11"/>
      <c r="E1235" s="2"/>
    </row>
    <row r="1236" spans="1:5">
      <c r="A1236" s="8" t="str">
        <f t="shared" ca="1" si="20"/>
        <v/>
      </c>
      <c r="B1236" s="12"/>
      <c r="C1236" s="4"/>
      <c r="D1236" s="11"/>
      <c r="E1236" s="2"/>
    </row>
    <row r="1237" spans="1:5">
      <c r="A1237" s="8" t="str">
        <f t="shared" ca="1" si="20"/>
        <v/>
      </c>
      <c r="B1237" s="12"/>
      <c r="C1237" s="4"/>
      <c r="D1237" s="11"/>
      <c r="E1237" s="2"/>
    </row>
    <row r="1238" spans="1:5">
      <c r="A1238" s="8" t="str">
        <f t="shared" ca="1" si="20"/>
        <v/>
      </c>
      <c r="B1238" s="12"/>
      <c r="C1238" s="4"/>
      <c r="D1238" s="11"/>
      <c r="E1238" s="2"/>
    </row>
    <row r="1239" spans="1:5">
      <c r="A1239" s="8" t="str">
        <f t="shared" ca="1" si="20"/>
        <v/>
      </c>
      <c r="B1239" s="12"/>
      <c r="C1239" s="4"/>
      <c r="D1239" s="11"/>
      <c r="E1239" s="2"/>
    </row>
    <row r="1240" spans="1:5">
      <c r="A1240" s="8" t="str">
        <f t="shared" ca="1" si="20"/>
        <v/>
      </c>
      <c r="B1240" s="12"/>
      <c r="C1240" s="4"/>
      <c r="D1240" s="11"/>
      <c r="E1240" s="2"/>
    </row>
    <row r="1241" spans="1:5">
      <c r="A1241" s="8" t="str">
        <f t="shared" ca="1" si="20"/>
        <v/>
      </c>
      <c r="B1241" s="12"/>
      <c r="C1241" s="4"/>
      <c r="D1241" s="11"/>
      <c r="E1241" s="2"/>
    </row>
    <row r="1242" spans="1:5">
      <c r="A1242" s="8" t="str">
        <f t="shared" ca="1" si="20"/>
        <v/>
      </c>
      <c r="B1242" s="12"/>
      <c r="C1242" s="4"/>
      <c r="D1242" s="11"/>
      <c r="E1242" s="2"/>
    </row>
    <row r="1243" spans="1:5">
      <c r="A1243" s="8" t="str">
        <f t="shared" ca="1" si="20"/>
        <v/>
      </c>
      <c r="B1243" s="12"/>
      <c r="C1243" s="4"/>
      <c r="D1243" s="11"/>
      <c r="E1243" s="2"/>
    </row>
    <row r="1244" spans="1:5">
      <c r="A1244" s="8" t="str">
        <f t="shared" ca="1" si="20"/>
        <v/>
      </c>
      <c r="B1244" s="12"/>
      <c r="C1244" s="4"/>
      <c r="D1244" s="11"/>
      <c r="E1244" s="2"/>
    </row>
    <row r="1245" spans="1:5">
      <c r="A1245" s="8" t="str">
        <f t="shared" ca="1" si="20"/>
        <v/>
      </c>
      <c r="B1245" s="12"/>
      <c r="C1245" s="4"/>
      <c r="D1245" s="11"/>
      <c r="E1245" s="2"/>
    </row>
    <row r="1246" spans="1:5">
      <c r="A1246" s="8" t="str">
        <f t="shared" ca="1" si="20"/>
        <v/>
      </c>
      <c r="B1246" s="12"/>
      <c r="C1246" s="4"/>
      <c r="D1246" s="11"/>
      <c r="E1246" s="2"/>
    </row>
    <row r="1247" spans="1:5">
      <c r="A1247" s="8" t="str">
        <f t="shared" ca="1" si="20"/>
        <v/>
      </c>
      <c r="B1247" s="12"/>
      <c r="C1247" s="4"/>
      <c r="D1247" s="11"/>
      <c r="E1247" s="2"/>
    </row>
    <row r="1248" spans="1:5">
      <c r="A1248" s="8" t="str">
        <f t="shared" ca="1" si="20"/>
        <v/>
      </c>
      <c r="B1248" s="12"/>
      <c r="C1248" s="4"/>
      <c r="D1248" s="11"/>
      <c r="E1248" s="2"/>
    </row>
    <row r="1249" spans="1:5">
      <c r="A1249" s="8" t="str">
        <f t="shared" ca="1" si="20"/>
        <v/>
      </c>
      <c r="B1249" s="12"/>
      <c r="C1249" s="4"/>
      <c r="D1249" s="11"/>
      <c r="E1249" s="2"/>
    </row>
    <row r="1250" spans="1:5">
      <c r="A1250" s="8" t="str">
        <f t="shared" ca="1" si="20"/>
        <v/>
      </c>
      <c r="B1250" s="12"/>
      <c r="C1250" s="4"/>
      <c r="D1250" s="11"/>
      <c r="E1250" s="2"/>
    </row>
    <row r="1251" spans="1:5">
      <c r="A1251" s="8" t="str">
        <f t="shared" ca="1" si="20"/>
        <v/>
      </c>
      <c r="B1251" s="12"/>
      <c r="C1251" s="4"/>
      <c r="D1251" s="11"/>
      <c r="E1251" s="2"/>
    </row>
    <row r="1252" spans="1:5">
      <c r="A1252" s="8" t="str">
        <f t="shared" ca="1" si="20"/>
        <v/>
      </c>
      <c r="B1252" s="12"/>
      <c r="C1252" s="4"/>
      <c r="D1252" s="11"/>
      <c r="E1252" s="2"/>
    </row>
    <row r="1253" spans="1:5">
      <c r="A1253" s="8" t="str">
        <f t="shared" ca="1" si="20"/>
        <v/>
      </c>
      <c r="B1253" s="12"/>
      <c r="C1253" s="4"/>
      <c r="D1253" s="11"/>
      <c r="E1253" s="2"/>
    </row>
    <row r="1254" spans="1:5">
      <c r="A1254" s="8" t="str">
        <f t="shared" ca="1" si="20"/>
        <v/>
      </c>
      <c r="B1254" s="12"/>
      <c r="C1254" s="4"/>
      <c r="D1254" s="11"/>
      <c r="E1254" s="2"/>
    </row>
    <row r="1255" spans="1:5">
      <c r="A1255" s="8" t="str">
        <f t="shared" ca="1" si="20"/>
        <v/>
      </c>
      <c r="B1255" s="12"/>
      <c r="C1255" s="4"/>
      <c r="D1255" s="11"/>
      <c r="E1255" s="2"/>
    </row>
    <row r="1256" spans="1:5">
      <c r="A1256" s="8" t="str">
        <f t="shared" ca="1" si="20"/>
        <v/>
      </c>
      <c r="B1256" s="12"/>
      <c r="C1256" s="4"/>
      <c r="D1256" s="11"/>
      <c r="E1256" s="2"/>
    </row>
    <row r="1257" spans="1:5">
      <c r="A1257" s="8" t="str">
        <f t="shared" ca="1" si="20"/>
        <v/>
      </c>
      <c r="B1257" s="12"/>
      <c r="C1257" s="4"/>
      <c r="D1257" s="11"/>
      <c r="E1257" s="2"/>
    </row>
    <row r="1258" spans="1:5">
      <c r="A1258" s="8" t="str">
        <f t="shared" ca="1" si="20"/>
        <v/>
      </c>
      <c r="B1258" s="12"/>
      <c r="C1258" s="4"/>
      <c r="D1258" s="11"/>
      <c r="E1258" s="2"/>
    </row>
    <row r="1259" spans="1:5">
      <c r="A1259" s="8" t="str">
        <f t="shared" ca="1" si="20"/>
        <v/>
      </c>
      <c r="B1259" s="12"/>
      <c r="C1259" s="4"/>
      <c r="D1259" s="11"/>
      <c r="E1259" s="2"/>
    </row>
    <row r="1260" spans="1:5">
      <c r="A1260" s="8" t="str">
        <f t="shared" ca="1" si="20"/>
        <v/>
      </c>
      <c r="B1260" s="12"/>
      <c r="C1260" s="4"/>
      <c r="D1260" s="11"/>
      <c r="E1260" s="2"/>
    </row>
    <row r="1261" spans="1:5">
      <c r="A1261" s="8" t="str">
        <f t="shared" ca="1" si="20"/>
        <v/>
      </c>
      <c r="B1261" s="12"/>
      <c r="C1261" s="4"/>
      <c r="D1261" s="11"/>
      <c r="E1261" s="2"/>
    </row>
    <row r="1262" spans="1:5">
      <c r="A1262" s="8" t="str">
        <f t="shared" ca="1" si="20"/>
        <v/>
      </c>
      <c r="B1262" s="12"/>
      <c r="C1262" s="4"/>
      <c r="D1262" s="11"/>
      <c r="E1262" s="2"/>
    </row>
    <row r="1263" spans="1:5">
      <c r="A1263" s="8" t="str">
        <f t="shared" ca="1" si="20"/>
        <v/>
      </c>
      <c r="B1263" s="12"/>
      <c r="C1263" s="4"/>
      <c r="D1263" s="11"/>
      <c r="E1263" s="2"/>
    </row>
    <row r="1264" spans="1:5">
      <c r="A1264" s="8" t="str">
        <f t="shared" ca="1" si="20"/>
        <v/>
      </c>
      <c r="B1264" s="12"/>
      <c r="C1264" s="4"/>
      <c r="D1264" s="11"/>
      <c r="E1264" s="2"/>
    </row>
    <row r="1265" spans="1:5">
      <c r="A1265" s="8" t="str">
        <f t="shared" ca="1" si="20"/>
        <v/>
      </c>
      <c r="B1265" s="12"/>
      <c r="C1265" s="4"/>
      <c r="D1265" s="11"/>
      <c r="E1265" s="2"/>
    </row>
    <row r="1266" spans="1:5">
      <c r="A1266" s="8" t="str">
        <f t="shared" ca="1" si="20"/>
        <v/>
      </c>
      <c r="B1266" s="12"/>
      <c r="C1266" s="4"/>
      <c r="D1266" s="11"/>
      <c r="E1266" s="2"/>
    </row>
    <row r="1267" spans="1:5">
      <c r="A1267" s="8" t="str">
        <f t="shared" ca="1" si="20"/>
        <v/>
      </c>
      <c r="B1267" s="12"/>
      <c r="C1267" s="4"/>
      <c r="D1267" s="11"/>
      <c r="E1267" s="2"/>
    </row>
    <row r="1268" spans="1:5">
      <c r="A1268" s="8" t="str">
        <f t="shared" ca="1" si="20"/>
        <v/>
      </c>
      <c r="B1268" s="12"/>
      <c r="C1268" s="4"/>
      <c r="D1268" s="11"/>
      <c r="E1268" s="2"/>
    </row>
    <row r="1269" spans="1:5">
      <c r="A1269" s="8" t="str">
        <f t="shared" ca="1" si="20"/>
        <v/>
      </c>
      <c r="B1269" s="12"/>
      <c r="C1269" s="4"/>
      <c r="D1269" s="11"/>
      <c r="E1269" s="2"/>
    </row>
    <row r="1270" spans="1:5">
      <c r="A1270" s="8" t="str">
        <f t="shared" ca="1" si="20"/>
        <v/>
      </c>
      <c r="B1270" s="12"/>
      <c r="C1270" s="4"/>
      <c r="D1270" s="11"/>
      <c r="E1270" s="2"/>
    </row>
    <row r="1271" spans="1:5">
      <c r="A1271" s="8" t="str">
        <f t="shared" ca="1" si="20"/>
        <v/>
      </c>
      <c r="B1271" s="12"/>
      <c r="C1271" s="4"/>
      <c r="D1271" s="11"/>
      <c r="E1271" s="2"/>
    </row>
    <row r="1272" spans="1:5">
      <c r="A1272" s="8" t="str">
        <f t="shared" ca="1" si="20"/>
        <v/>
      </c>
      <c r="B1272" s="12"/>
      <c r="C1272" s="4"/>
      <c r="D1272" s="11"/>
      <c r="E1272" s="2"/>
    </row>
    <row r="1273" spans="1:5">
      <c r="A1273" s="8" t="str">
        <f t="shared" ca="1" si="20"/>
        <v/>
      </c>
      <c r="B1273" s="12"/>
      <c r="C1273" s="4"/>
      <c r="D1273" s="11"/>
      <c r="E1273" s="2"/>
    </row>
    <row r="1274" spans="1:5">
      <c r="A1274" s="8" t="str">
        <f t="shared" ca="1" si="20"/>
        <v/>
      </c>
      <c r="B1274" s="12"/>
      <c r="C1274" s="4"/>
      <c r="D1274" s="11"/>
      <c r="E1274" s="2"/>
    </row>
    <row r="1275" spans="1:5">
      <c r="A1275" s="8" t="str">
        <f t="shared" ca="1" si="20"/>
        <v/>
      </c>
      <c r="B1275" s="12"/>
      <c r="C1275" s="4"/>
      <c r="D1275" s="11"/>
      <c r="E1275" s="2"/>
    </row>
    <row r="1276" spans="1:5">
      <c r="A1276" s="8" t="str">
        <f t="shared" ca="1" si="20"/>
        <v/>
      </c>
      <c r="B1276" s="12"/>
      <c r="C1276" s="4"/>
      <c r="D1276" s="11"/>
      <c r="E1276" s="2"/>
    </row>
    <row r="1277" spans="1:5">
      <c r="A1277" s="8" t="str">
        <f t="shared" ca="1" si="20"/>
        <v/>
      </c>
      <c r="B1277" s="12"/>
      <c r="C1277" s="4"/>
      <c r="D1277" s="11"/>
      <c r="E1277" s="2"/>
    </row>
    <row r="1278" spans="1:5">
      <c r="A1278" s="8" t="str">
        <f t="shared" ca="1" si="20"/>
        <v/>
      </c>
      <c r="B1278" s="12"/>
      <c r="C1278" s="4"/>
      <c r="D1278" s="11"/>
      <c r="E1278" s="2"/>
    </row>
    <row r="1279" spans="1:5">
      <c r="A1279" s="8" t="str">
        <f t="shared" ca="1" si="20"/>
        <v/>
      </c>
      <c r="B1279" s="12"/>
      <c r="C1279" s="4"/>
      <c r="D1279" s="11"/>
      <c r="E1279" s="2"/>
    </row>
    <row r="1280" spans="1:5">
      <c r="A1280" s="8" t="str">
        <f t="shared" ca="1" si="20"/>
        <v/>
      </c>
      <c r="B1280" s="12"/>
      <c r="C1280" s="4"/>
      <c r="D1280" s="11"/>
      <c r="E1280" s="2"/>
    </row>
    <row r="1281" spans="1:5">
      <c r="A1281" s="8" t="str">
        <f t="shared" ca="1" si="20"/>
        <v/>
      </c>
      <c r="B1281" s="12"/>
      <c r="C1281" s="4"/>
      <c r="D1281" s="11"/>
      <c r="E1281" s="2"/>
    </row>
    <row r="1282" spans="1:5">
      <c r="A1282" s="8" t="str">
        <f t="shared" ca="1" si="20"/>
        <v/>
      </c>
      <c r="B1282" s="12"/>
      <c r="C1282" s="4"/>
      <c r="D1282" s="11"/>
      <c r="E1282" s="2"/>
    </row>
    <row r="1283" spans="1:5">
      <c r="A1283" s="8" t="str">
        <f t="shared" ca="1" si="20"/>
        <v/>
      </c>
      <c r="B1283" s="12"/>
      <c r="C1283" s="4"/>
      <c r="D1283" s="11"/>
      <c r="E1283" s="2"/>
    </row>
    <row r="1284" spans="1:5">
      <c r="A1284" s="8" t="str">
        <f t="shared" ca="1" si="20"/>
        <v/>
      </c>
      <c r="B1284" s="12"/>
      <c r="C1284" s="4"/>
      <c r="D1284" s="11"/>
      <c r="E1284" s="2"/>
    </row>
    <row r="1285" spans="1:5">
      <c r="A1285" s="8" t="str">
        <f t="shared" ca="1" si="20"/>
        <v/>
      </c>
      <c r="B1285" s="12"/>
      <c r="C1285" s="4"/>
      <c r="D1285" s="11"/>
      <c r="E1285" s="2"/>
    </row>
    <row r="1286" spans="1:5">
      <c r="A1286" s="8" t="str">
        <f t="shared" ca="1" si="20"/>
        <v/>
      </c>
      <c r="B1286" s="12"/>
      <c r="C1286" s="4"/>
      <c r="D1286" s="11"/>
      <c r="E1286" s="2"/>
    </row>
    <row r="1287" spans="1:5">
      <c r="A1287" s="8" t="str">
        <f t="shared" ca="1" si="20"/>
        <v/>
      </c>
      <c r="B1287" s="12"/>
      <c r="C1287" s="4"/>
      <c r="D1287" s="11"/>
      <c r="E1287" s="2"/>
    </row>
    <row r="1288" spans="1:5">
      <c r="A1288" s="8" t="str">
        <f t="shared" ca="1" si="20"/>
        <v/>
      </c>
      <c r="B1288" s="12"/>
      <c r="C1288" s="4"/>
      <c r="D1288" s="11"/>
      <c r="E1288" s="2"/>
    </row>
    <row r="1289" spans="1:5">
      <c r="A1289" s="8" t="str">
        <f t="shared" ca="1" si="20"/>
        <v/>
      </c>
      <c r="B1289" s="12"/>
      <c r="C1289" s="4"/>
      <c r="D1289" s="11"/>
      <c r="E1289" s="2"/>
    </row>
    <row r="1290" spans="1:5">
      <c r="A1290" s="8" t="str">
        <f t="shared" ref="A1290:A1353" ca="1" si="21">IF(B1290="","",IF(A1290="",TODAY(),A1290))</f>
        <v/>
      </c>
      <c r="B1290" s="12"/>
      <c r="C1290" s="4"/>
      <c r="D1290" s="11"/>
      <c r="E1290" s="2"/>
    </row>
    <row r="1291" spans="1:5">
      <c r="A1291" s="8" t="str">
        <f t="shared" ca="1" si="21"/>
        <v/>
      </c>
      <c r="B1291" s="12"/>
      <c r="C1291" s="4"/>
      <c r="D1291" s="11"/>
      <c r="E1291" s="2"/>
    </row>
    <row r="1292" spans="1:5">
      <c r="A1292" s="8" t="str">
        <f t="shared" ca="1" si="21"/>
        <v/>
      </c>
      <c r="B1292" s="12"/>
      <c r="C1292" s="4"/>
      <c r="D1292" s="11"/>
      <c r="E1292" s="2"/>
    </row>
    <row r="1293" spans="1:5">
      <c r="A1293" s="8" t="str">
        <f t="shared" ca="1" si="21"/>
        <v/>
      </c>
      <c r="B1293" s="12"/>
      <c r="C1293" s="4"/>
      <c r="D1293" s="11"/>
      <c r="E1293" s="2"/>
    </row>
    <row r="1294" spans="1:5">
      <c r="A1294" s="8" t="str">
        <f t="shared" ca="1" si="21"/>
        <v/>
      </c>
      <c r="B1294" s="12"/>
      <c r="C1294" s="4"/>
      <c r="D1294" s="11"/>
      <c r="E1294" s="2"/>
    </row>
    <row r="1295" spans="1:5">
      <c r="A1295" s="8" t="str">
        <f t="shared" ca="1" si="21"/>
        <v/>
      </c>
      <c r="B1295" s="12"/>
      <c r="C1295" s="4"/>
      <c r="D1295" s="11"/>
      <c r="E1295" s="2"/>
    </row>
    <row r="1296" spans="1:5">
      <c r="A1296" s="8" t="str">
        <f t="shared" ca="1" si="21"/>
        <v/>
      </c>
      <c r="B1296" s="12"/>
      <c r="C1296" s="4"/>
      <c r="D1296" s="11"/>
      <c r="E1296" s="2"/>
    </row>
    <row r="1297" spans="1:5">
      <c r="A1297" s="8" t="str">
        <f t="shared" ca="1" si="21"/>
        <v/>
      </c>
      <c r="B1297" s="12"/>
      <c r="C1297" s="4"/>
      <c r="D1297" s="11"/>
      <c r="E1297" s="2"/>
    </row>
    <row r="1298" spans="1:5">
      <c r="A1298" s="8" t="str">
        <f t="shared" ca="1" si="21"/>
        <v/>
      </c>
      <c r="B1298" s="12"/>
      <c r="C1298" s="4"/>
      <c r="D1298" s="11"/>
      <c r="E1298" s="2"/>
    </row>
    <row r="1299" spans="1:5">
      <c r="A1299" s="8" t="str">
        <f t="shared" ca="1" si="21"/>
        <v/>
      </c>
      <c r="B1299" s="12"/>
      <c r="C1299" s="4"/>
      <c r="D1299" s="11"/>
      <c r="E1299" s="2"/>
    </row>
    <row r="1300" spans="1:5">
      <c r="A1300" s="8" t="str">
        <f t="shared" ca="1" si="21"/>
        <v/>
      </c>
      <c r="B1300" s="12"/>
      <c r="C1300" s="4"/>
      <c r="D1300" s="11"/>
      <c r="E1300" s="2"/>
    </row>
    <row r="1301" spans="1:5">
      <c r="A1301" s="8" t="str">
        <f t="shared" ca="1" si="21"/>
        <v/>
      </c>
      <c r="B1301" s="12"/>
      <c r="C1301" s="4"/>
      <c r="D1301" s="11"/>
      <c r="E1301" s="2"/>
    </row>
    <row r="1302" spans="1:5">
      <c r="A1302" s="8" t="str">
        <f t="shared" ca="1" si="21"/>
        <v/>
      </c>
      <c r="B1302" s="12"/>
      <c r="C1302" s="4"/>
      <c r="D1302" s="11"/>
      <c r="E1302" s="2"/>
    </row>
    <row r="1303" spans="1:5">
      <c r="A1303" s="8" t="str">
        <f t="shared" ca="1" si="21"/>
        <v/>
      </c>
      <c r="B1303" s="12"/>
      <c r="C1303" s="4"/>
      <c r="D1303" s="11"/>
      <c r="E1303" s="2"/>
    </row>
    <row r="1304" spans="1:5">
      <c r="A1304" s="8" t="str">
        <f t="shared" ca="1" si="21"/>
        <v/>
      </c>
      <c r="B1304" s="12"/>
      <c r="C1304" s="4"/>
      <c r="D1304" s="11"/>
      <c r="E1304" s="2"/>
    </row>
    <row r="1305" spans="1:5">
      <c r="A1305" s="8" t="str">
        <f t="shared" ca="1" si="21"/>
        <v/>
      </c>
      <c r="B1305" s="12"/>
      <c r="C1305" s="4"/>
      <c r="D1305" s="11"/>
      <c r="E1305" s="2"/>
    </row>
    <row r="1306" spans="1:5">
      <c r="A1306" s="8" t="str">
        <f t="shared" ca="1" si="21"/>
        <v/>
      </c>
      <c r="B1306" s="12"/>
      <c r="C1306" s="4"/>
      <c r="D1306" s="11"/>
      <c r="E1306" s="2"/>
    </row>
    <row r="1307" spans="1:5">
      <c r="A1307" s="8" t="str">
        <f t="shared" ca="1" si="21"/>
        <v/>
      </c>
      <c r="B1307" s="12"/>
      <c r="C1307" s="4"/>
      <c r="D1307" s="11"/>
      <c r="E1307" s="2"/>
    </row>
    <row r="1308" spans="1:5">
      <c r="A1308" s="8" t="str">
        <f t="shared" ca="1" si="21"/>
        <v/>
      </c>
      <c r="B1308" s="12"/>
      <c r="C1308" s="4"/>
      <c r="D1308" s="11"/>
      <c r="E1308" s="2"/>
    </row>
    <row r="1309" spans="1:5">
      <c r="A1309" s="8" t="str">
        <f t="shared" ca="1" si="21"/>
        <v/>
      </c>
      <c r="B1309" s="12"/>
      <c r="C1309" s="4"/>
      <c r="D1309" s="11"/>
      <c r="E1309" s="2"/>
    </row>
    <row r="1310" spans="1:5">
      <c r="A1310" s="8" t="str">
        <f t="shared" ca="1" si="21"/>
        <v/>
      </c>
      <c r="B1310" s="12"/>
      <c r="C1310" s="4"/>
      <c r="D1310" s="11"/>
      <c r="E1310" s="2"/>
    </row>
    <row r="1311" spans="1:5">
      <c r="A1311" s="8" t="str">
        <f t="shared" ca="1" si="21"/>
        <v/>
      </c>
      <c r="B1311" s="12"/>
      <c r="C1311" s="4"/>
      <c r="D1311" s="11"/>
      <c r="E1311" s="2"/>
    </row>
    <row r="1312" spans="1:5">
      <c r="A1312" s="8" t="str">
        <f t="shared" ca="1" si="21"/>
        <v/>
      </c>
      <c r="B1312" s="12"/>
      <c r="C1312" s="4"/>
      <c r="D1312" s="11"/>
      <c r="E1312" s="2"/>
    </row>
    <row r="1313" spans="1:5">
      <c r="A1313" s="8" t="str">
        <f t="shared" ca="1" si="21"/>
        <v/>
      </c>
      <c r="B1313" s="12"/>
      <c r="C1313" s="4"/>
      <c r="D1313" s="11"/>
      <c r="E1313" s="2"/>
    </row>
    <row r="1314" spans="1:5">
      <c r="A1314" s="8" t="str">
        <f t="shared" ca="1" si="21"/>
        <v/>
      </c>
      <c r="B1314" s="12"/>
      <c r="C1314" s="4"/>
      <c r="D1314" s="11"/>
      <c r="E1314" s="2"/>
    </row>
    <row r="1315" spans="1:5">
      <c r="A1315" s="8" t="str">
        <f t="shared" ca="1" si="21"/>
        <v/>
      </c>
      <c r="B1315" s="12"/>
      <c r="C1315" s="4"/>
      <c r="D1315" s="11"/>
      <c r="E1315" s="2"/>
    </row>
    <row r="1316" spans="1:5">
      <c r="A1316" s="8" t="str">
        <f t="shared" ca="1" si="21"/>
        <v/>
      </c>
      <c r="B1316" s="12"/>
      <c r="C1316" s="4"/>
      <c r="D1316" s="11"/>
      <c r="E1316" s="2"/>
    </row>
    <row r="1317" spans="1:5">
      <c r="A1317" s="8" t="str">
        <f t="shared" ca="1" si="21"/>
        <v/>
      </c>
      <c r="B1317" s="12"/>
      <c r="C1317" s="4"/>
      <c r="D1317" s="11"/>
      <c r="E1317" s="2"/>
    </row>
    <row r="1318" spans="1:5">
      <c r="A1318" s="8" t="str">
        <f t="shared" ca="1" si="21"/>
        <v/>
      </c>
      <c r="B1318" s="12"/>
      <c r="C1318" s="4"/>
      <c r="D1318" s="11"/>
      <c r="E1318" s="2"/>
    </row>
    <row r="1319" spans="1:5">
      <c r="A1319" s="8" t="str">
        <f t="shared" ca="1" si="21"/>
        <v/>
      </c>
      <c r="B1319" s="12"/>
      <c r="C1319" s="4"/>
      <c r="D1319" s="11"/>
      <c r="E1319" s="2"/>
    </row>
    <row r="1320" spans="1:5">
      <c r="A1320" s="8" t="str">
        <f t="shared" ca="1" si="21"/>
        <v/>
      </c>
      <c r="B1320" s="12"/>
      <c r="C1320" s="4"/>
      <c r="D1320" s="11"/>
      <c r="E1320" s="2"/>
    </row>
    <row r="1321" spans="1:5">
      <c r="A1321" s="8" t="str">
        <f t="shared" ca="1" si="21"/>
        <v/>
      </c>
      <c r="B1321" s="12"/>
      <c r="C1321" s="4"/>
      <c r="D1321" s="11"/>
      <c r="E1321" s="2"/>
    </row>
    <row r="1322" spans="1:5">
      <c r="A1322" s="8" t="str">
        <f t="shared" ca="1" si="21"/>
        <v/>
      </c>
      <c r="B1322" s="12"/>
      <c r="C1322" s="4"/>
      <c r="D1322" s="11"/>
      <c r="E1322" s="2"/>
    </row>
    <row r="1323" spans="1:5">
      <c r="A1323" s="8" t="str">
        <f t="shared" ca="1" si="21"/>
        <v/>
      </c>
      <c r="B1323" s="12"/>
      <c r="C1323" s="4"/>
      <c r="D1323" s="11"/>
      <c r="E1323" s="2"/>
    </row>
    <row r="1324" spans="1:5">
      <c r="A1324" s="8" t="str">
        <f t="shared" ca="1" si="21"/>
        <v/>
      </c>
      <c r="B1324" s="12"/>
      <c r="C1324" s="4"/>
      <c r="D1324" s="11"/>
      <c r="E1324" s="2"/>
    </row>
    <row r="1325" spans="1:5">
      <c r="A1325" s="8" t="str">
        <f t="shared" ca="1" si="21"/>
        <v/>
      </c>
      <c r="B1325" s="12"/>
      <c r="C1325" s="4"/>
      <c r="D1325" s="11"/>
      <c r="E1325" s="2"/>
    </row>
    <row r="1326" spans="1:5">
      <c r="A1326" s="8" t="str">
        <f t="shared" ca="1" si="21"/>
        <v/>
      </c>
      <c r="B1326" s="12"/>
      <c r="C1326" s="4"/>
      <c r="D1326" s="11"/>
      <c r="E1326" s="2"/>
    </row>
    <row r="1327" spans="1:5">
      <c r="A1327" s="8" t="str">
        <f t="shared" ca="1" si="21"/>
        <v/>
      </c>
      <c r="B1327" s="12"/>
      <c r="C1327" s="4"/>
      <c r="D1327" s="11"/>
      <c r="E1327" s="2"/>
    </row>
    <row r="1328" spans="1:5">
      <c r="A1328" s="8" t="str">
        <f t="shared" ca="1" si="21"/>
        <v/>
      </c>
      <c r="B1328" s="12"/>
      <c r="C1328" s="4"/>
      <c r="D1328" s="11"/>
      <c r="E1328" s="2"/>
    </row>
    <row r="1329" spans="1:5">
      <c r="A1329" s="8" t="str">
        <f t="shared" ca="1" si="21"/>
        <v/>
      </c>
      <c r="B1329" s="12"/>
      <c r="C1329" s="4"/>
      <c r="D1329" s="11"/>
      <c r="E1329" s="2"/>
    </row>
    <row r="1330" spans="1:5">
      <c r="A1330" s="8" t="str">
        <f t="shared" ca="1" si="21"/>
        <v/>
      </c>
      <c r="B1330" s="12"/>
      <c r="C1330" s="4"/>
      <c r="D1330" s="11"/>
      <c r="E1330" s="2"/>
    </row>
    <row r="1331" spans="1:5">
      <c r="A1331" s="8" t="str">
        <f t="shared" ca="1" si="21"/>
        <v/>
      </c>
      <c r="B1331" s="12"/>
      <c r="C1331" s="4"/>
      <c r="D1331" s="11"/>
      <c r="E1331" s="2"/>
    </row>
    <row r="1332" spans="1:5">
      <c r="A1332" s="8" t="str">
        <f t="shared" ca="1" si="21"/>
        <v/>
      </c>
      <c r="B1332" s="12"/>
      <c r="C1332" s="4"/>
      <c r="D1332" s="11"/>
      <c r="E1332" s="2"/>
    </row>
    <row r="1333" spans="1:5">
      <c r="A1333" s="8" t="str">
        <f t="shared" ca="1" si="21"/>
        <v/>
      </c>
      <c r="B1333" s="12"/>
      <c r="C1333" s="4"/>
      <c r="D1333" s="11"/>
      <c r="E1333" s="2"/>
    </row>
    <row r="1334" spans="1:5">
      <c r="A1334" s="8" t="str">
        <f t="shared" ca="1" si="21"/>
        <v/>
      </c>
      <c r="B1334" s="12"/>
      <c r="C1334" s="4"/>
      <c r="D1334" s="11"/>
      <c r="E1334" s="2"/>
    </row>
    <row r="1335" spans="1:5">
      <c r="A1335" s="8" t="str">
        <f t="shared" ca="1" si="21"/>
        <v/>
      </c>
      <c r="B1335" s="12"/>
      <c r="C1335" s="4"/>
      <c r="D1335" s="11"/>
      <c r="E1335" s="2"/>
    </row>
    <row r="1336" spans="1:5">
      <c r="A1336" s="8" t="str">
        <f t="shared" ca="1" si="21"/>
        <v/>
      </c>
      <c r="B1336" s="12"/>
      <c r="C1336" s="4"/>
      <c r="D1336" s="11"/>
      <c r="E1336" s="2"/>
    </row>
    <row r="1337" spans="1:5">
      <c r="A1337" s="8" t="str">
        <f t="shared" ca="1" si="21"/>
        <v/>
      </c>
      <c r="B1337" s="12"/>
      <c r="C1337" s="4"/>
      <c r="D1337" s="11"/>
      <c r="E1337" s="2"/>
    </row>
    <row r="1338" spans="1:5">
      <c r="A1338" s="8" t="str">
        <f t="shared" ca="1" si="21"/>
        <v/>
      </c>
      <c r="B1338" s="12"/>
      <c r="C1338" s="4"/>
      <c r="D1338" s="11"/>
      <c r="E1338" s="2"/>
    </row>
    <row r="1339" spans="1:5">
      <c r="A1339" s="8" t="str">
        <f t="shared" ca="1" si="21"/>
        <v/>
      </c>
      <c r="B1339" s="12"/>
      <c r="C1339" s="4"/>
      <c r="D1339" s="11"/>
      <c r="E1339" s="2"/>
    </row>
    <row r="1340" spans="1:5">
      <c r="A1340" s="8" t="str">
        <f t="shared" ca="1" si="21"/>
        <v/>
      </c>
      <c r="B1340" s="12"/>
      <c r="C1340" s="4"/>
      <c r="D1340" s="11"/>
      <c r="E1340" s="2"/>
    </row>
    <row r="1341" spans="1:5">
      <c r="A1341" s="8" t="str">
        <f t="shared" ca="1" si="21"/>
        <v/>
      </c>
      <c r="B1341" s="12"/>
      <c r="C1341" s="4"/>
      <c r="D1341" s="11"/>
      <c r="E1341" s="2"/>
    </row>
    <row r="1342" spans="1:5">
      <c r="A1342" s="8" t="str">
        <f t="shared" ca="1" si="21"/>
        <v/>
      </c>
      <c r="B1342" s="12"/>
      <c r="C1342" s="4"/>
      <c r="D1342" s="11"/>
      <c r="E1342" s="2"/>
    </row>
    <row r="1343" spans="1:5">
      <c r="A1343" s="8" t="str">
        <f t="shared" ca="1" si="21"/>
        <v/>
      </c>
      <c r="B1343" s="12"/>
      <c r="C1343" s="4"/>
      <c r="D1343" s="11"/>
      <c r="E1343" s="2"/>
    </row>
    <row r="1344" spans="1:5">
      <c r="A1344" s="8" t="str">
        <f t="shared" ca="1" si="21"/>
        <v/>
      </c>
      <c r="B1344" s="12"/>
      <c r="C1344" s="4"/>
      <c r="D1344" s="11"/>
      <c r="E1344" s="2"/>
    </row>
    <row r="1345" spans="1:5">
      <c r="A1345" s="8" t="str">
        <f t="shared" ca="1" si="21"/>
        <v/>
      </c>
      <c r="B1345" s="12"/>
      <c r="C1345" s="4"/>
      <c r="D1345" s="11"/>
      <c r="E1345" s="2"/>
    </row>
    <row r="1346" spans="1:5">
      <c r="A1346" s="8" t="str">
        <f t="shared" ca="1" si="21"/>
        <v/>
      </c>
      <c r="B1346" s="12"/>
      <c r="C1346" s="4"/>
      <c r="D1346" s="11"/>
      <c r="E1346" s="2"/>
    </row>
    <row r="1347" spans="1:5">
      <c r="A1347" s="8" t="str">
        <f t="shared" ca="1" si="21"/>
        <v/>
      </c>
      <c r="B1347" s="12"/>
      <c r="C1347" s="4"/>
      <c r="D1347" s="11"/>
      <c r="E1347" s="2"/>
    </row>
    <row r="1348" spans="1:5">
      <c r="A1348" s="8" t="str">
        <f t="shared" ca="1" si="21"/>
        <v/>
      </c>
      <c r="B1348" s="12"/>
      <c r="C1348" s="4"/>
      <c r="D1348" s="11"/>
      <c r="E1348" s="2"/>
    </row>
    <row r="1349" spans="1:5">
      <c r="A1349" s="8" t="str">
        <f t="shared" ca="1" si="21"/>
        <v/>
      </c>
      <c r="B1349" s="12"/>
      <c r="C1349" s="4"/>
      <c r="D1349" s="11"/>
      <c r="E1349" s="2"/>
    </row>
    <row r="1350" spans="1:5">
      <c r="A1350" s="8" t="str">
        <f t="shared" ca="1" si="21"/>
        <v/>
      </c>
      <c r="B1350" s="12"/>
      <c r="C1350" s="4"/>
      <c r="D1350" s="11"/>
      <c r="E1350" s="2"/>
    </row>
    <row r="1351" spans="1:5">
      <c r="A1351" s="8" t="str">
        <f t="shared" ca="1" si="21"/>
        <v/>
      </c>
      <c r="B1351" s="12"/>
      <c r="C1351" s="4"/>
      <c r="D1351" s="11"/>
      <c r="E1351" s="2"/>
    </row>
    <row r="1352" spans="1:5">
      <c r="A1352" s="8" t="str">
        <f t="shared" ca="1" si="21"/>
        <v/>
      </c>
      <c r="B1352" s="12"/>
      <c r="C1352" s="4"/>
      <c r="D1352" s="11"/>
      <c r="E1352" s="2"/>
    </row>
    <row r="1353" spans="1:5">
      <c r="A1353" s="8" t="str">
        <f t="shared" ca="1" si="21"/>
        <v/>
      </c>
      <c r="B1353" s="12"/>
      <c r="C1353" s="4"/>
      <c r="D1353" s="11"/>
      <c r="E1353" s="2"/>
    </row>
    <row r="1354" spans="1:5">
      <c r="A1354" s="8" t="str">
        <f t="shared" ref="A1354:A1417" ca="1" si="22">IF(B1354="","",IF(A1354="",TODAY(),A1354))</f>
        <v/>
      </c>
      <c r="B1354" s="12"/>
      <c r="C1354" s="4"/>
      <c r="D1354" s="11"/>
      <c r="E1354" s="2"/>
    </row>
    <row r="1355" spans="1:5">
      <c r="A1355" s="8" t="str">
        <f t="shared" ca="1" si="22"/>
        <v/>
      </c>
      <c r="B1355" s="12"/>
      <c r="C1355" s="4"/>
      <c r="D1355" s="11"/>
      <c r="E1355" s="2"/>
    </row>
    <row r="1356" spans="1:5">
      <c r="A1356" s="8" t="str">
        <f t="shared" ca="1" si="22"/>
        <v/>
      </c>
      <c r="B1356" s="12"/>
      <c r="C1356" s="4"/>
      <c r="D1356" s="11"/>
      <c r="E1356" s="2"/>
    </row>
    <row r="1357" spans="1:5">
      <c r="A1357" s="8" t="str">
        <f t="shared" ca="1" si="22"/>
        <v/>
      </c>
      <c r="B1357" s="12"/>
      <c r="C1357" s="4"/>
      <c r="D1357" s="11"/>
      <c r="E1357" s="2"/>
    </row>
    <row r="1358" spans="1:5">
      <c r="A1358" s="8" t="str">
        <f t="shared" ca="1" si="22"/>
        <v/>
      </c>
      <c r="B1358" s="12"/>
      <c r="C1358" s="4"/>
      <c r="D1358" s="11"/>
      <c r="E1358" s="2"/>
    </row>
    <row r="1359" spans="1:5">
      <c r="A1359" s="8" t="str">
        <f t="shared" ca="1" si="22"/>
        <v/>
      </c>
      <c r="B1359" s="12"/>
      <c r="C1359" s="4"/>
      <c r="D1359" s="11"/>
      <c r="E1359" s="2"/>
    </row>
    <row r="1360" spans="1:5">
      <c r="A1360" s="8" t="str">
        <f t="shared" ca="1" si="22"/>
        <v/>
      </c>
      <c r="B1360" s="12"/>
      <c r="C1360" s="4"/>
      <c r="D1360" s="11"/>
      <c r="E1360" s="2"/>
    </row>
    <row r="1361" spans="1:5">
      <c r="A1361" s="8" t="str">
        <f t="shared" ca="1" si="22"/>
        <v/>
      </c>
      <c r="B1361" s="12"/>
      <c r="C1361" s="4"/>
      <c r="D1361" s="11"/>
      <c r="E1361" s="2"/>
    </row>
    <row r="1362" spans="1:5">
      <c r="A1362" s="8" t="str">
        <f t="shared" ca="1" si="22"/>
        <v/>
      </c>
      <c r="B1362" s="12"/>
      <c r="C1362" s="4"/>
      <c r="D1362" s="11"/>
      <c r="E1362" s="2"/>
    </row>
    <row r="1363" spans="1:5">
      <c r="A1363" s="8" t="str">
        <f t="shared" ca="1" si="22"/>
        <v/>
      </c>
      <c r="B1363" s="12"/>
      <c r="C1363" s="4"/>
      <c r="D1363" s="11"/>
      <c r="E1363" s="2"/>
    </row>
    <row r="1364" spans="1:5">
      <c r="A1364" s="8" t="str">
        <f t="shared" ca="1" si="22"/>
        <v/>
      </c>
      <c r="B1364" s="12"/>
      <c r="C1364" s="4"/>
      <c r="D1364" s="11"/>
      <c r="E1364" s="2"/>
    </row>
    <row r="1365" spans="1:5">
      <c r="A1365" s="8" t="str">
        <f t="shared" ca="1" si="22"/>
        <v/>
      </c>
      <c r="B1365" s="12"/>
      <c r="C1365" s="4"/>
      <c r="D1365" s="11"/>
      <c r="E1365" s="2"/>
    </row>
    <row r="1366" spans="1:5">
      <c r="A1366" s="8" t="str">
        <f t="shared" ca="1" si="22"/>
        <v/>
      </c>
      <c r="B1366" s="12"/>
      <c r="C1366" s="4"/>
      <c r="D1366" s="11"/>
      <c r="E1366" s="2"/>
    </row>
    <row r="1367" spans="1:5">
      <c r="A1367" s="8" t="str">
        <f t="shared" ca="1" si="22"/>
        <v/>
      </c>
      <c r="B1367" s="12"/>
      <c r="C1367" s="4"/>
      <c r="D1367" s="11"/>
      <c r="E1367" s="2"/>
    </row>
    <row r="1368" spans="1:5">
      <c r="A1368" s="8" t="str">
        <f t="shared" ca="1" si="22"/>
        <v/>
      </c>
      <c r="B1368" s="12"/>
      <c r="C1368" s="4"/>
      <c r="D1368" s="11"/>
      <c r="E1368" s="2"/>
    </row>
    <row r="1369" spans="1:5">
      <c r="A1369" s="8" t="str">
        <f t="shared" ca="1" si="22"/>
        <v/>
      </c>
      <c r="B1369" s="12"/>
      <c r="C1369" s="4"/>
      <c r="D1369" s="11"/>
      <c r="E1369" s="2"/>
    </row>
    <row r="1370" spans="1:5">
      <c r="A1370" s="8" t="str">
        <f t="shared" ca="1" si="22"/>
        <v/>
      </c>
      <c r="B1370" s="12"/>
      <c r="C1370" s="4"/>
      <c r="D1370" s="11"/>
      <c r="E1370" s="2"/>
    </row>
    <row r="1371" spans="1:5">
      <c r="A1371" s="8" t="str">
        <f t="shared" ca="1" si="22"/>
        <v/>
      </c>
      <c r="B1371" s="12"/>
      <c r="C1371" s="4"/>
      <c r="D1371" s="11"/>
      <c r="E1371" s="2"/>
    </row>
    <row r="1372" spans="1:5">
      <c r="A1372" s="8" t="str">
        <f t="shared" ca="1" si="22"/>
        <v/>
      </c>
      <c r="B1372" s="12"/>
      <c r="C1372" s="4"/>
      <c r="D1372" s="11"/>
      <c r="E1372" s="2"/>
    </row>
    <row r="1373" spans="1:5">
      <c r="A1373" s="8" t="str">
        <f t="shared" ca="1" si="22"/>
        <v/>
      </c>
      <c r="B1373" s="12"/>
      <c r="C1373" s="4"/>
      <c r="D1373" s="11"/>
      <c r="E1373" s="2"/>
    </row>
    <row r="1374" spans="1:5">
      <c r="A1374" s="8" t="str">
        <f t="shared" ca="1" si="22"/>
        <v/>
      </c>
      <c r="B1374" s="12"/>
      <c r="C1374" s="4"/>
      <c r="D1374" s="11"/>
      <c r="E1374" s="2"/>
    </row>
    <row r="1375" spans="1:5">
      <c r="A1375" s="8" t="str">
        <f t="shared" ca="1" si="22"/>
        <v/>
      </c>
      <c r="B1375" s="12"/>
      <c r="C1375" s="4"/>
      <c r="D1375" s="11"/>
      <c r="E1375" s="2"/>
    </row>
    <row r="1376" spans="1:5">
      <c r="A1376" s="8" t="str">
        <f t="shared" ca="1" si="22"/>
        <v/>
      </c>
      <c r="B1376" s="12"/>
      <c r="C1376" s="4"/>
      <c r="D1376" s="11"/>
      <c r="E1376" s="2"/>
    </row>
    <row r="1377" spans="1:5">
      <c r="A1377" s="8" t="str">
        <f t="shared" ca="1" si="22"/>
        <v/>
      </c>
      <c r="B1377" s="12"/>
      <c r="C1377" s="4"/>
      <c r="D1377" s="11"/>
      <c r="E1377" s="2"/>
    </row>
    <row r="1378" spans="1:5">
      <c r="A1378" s="8" t="str">
        <f t="shared" ca="1" si="22"/>
        <v/>
      </c>
      <c r="B1378" s="12"/>
      <c r="C1378" s="4"/>
      <c r="D1378" s="11"/>
      <c r="E1378" s="2"/>
    </row>
    <row r="1379" spans="1:5">
      <c r="A1379" s="8" t="str">
        <f t="shared" ca="1" si="22"/>
        <v/>
      </c>
      <c r="B1379" s="12"/>
      <c r="C1379" s="4"/>
      <c r="D1379" s="11"/>
      <c r="E1379" s="2"/>
    </row>
    <row r="1380" spans="1:5">
      <c r="A1380" s="8" t="str">
        <f t="shared" ca="1" si="22"/>
        <v/>
      </c>
      <c r="B1380" s="12"/>
      <c r="C1380" s="4"/>
      <c r="D1380" s="11"/>
      <c r="E1380" s="2"/>
    </row>
    <row r="1381" spans="1:5">
      <c r="A1381" s="8" t="str">
        <f t="shared" ca="1" si="22"/>
        <v/>
      </c>
      <c r="B1381" s="12"/>
      <c r="C1381" s="4"/>
      <c r="D1381" s="11"/>
      <c r="E1381" s="2"/>
    </row>
    <row r="1382" spans="1:5">
      <c r="A1382" s="8" t="str">
        <f t="shared" ca="1" si="22"/>
        <v/>
      </c>
      <c r="B1382" s="12"/>
      <c r="C1382" s="4"/>
      <c r="D1382" s="11"/>
      <c r="E1382" s="2"/>
    </row>
    <row r="1383" spans="1:5">
      <c r="A1383" s="8" t="str">
        <f t="shared" ca="1" si="22"/>
        <v/>
      </c>
      <c r="B1383" s="12"/>
      <c r="C1383" s="4"/>
      <c r="D1383" s="11"/>
      <c r="E1383" s="2"/>
    </row>
    <row r="1384" spans="1:5">
      <c r="A1384" s="8" t="str">
        <f t="shared" ca="1" si="22"/>
        <v/>
      </c>
      <c r="B1384" s="12"/>
      <c r="C1384" s="4"/>
      <c r="D1384" s="11"/>
      <c r="E1384" s="2"/>
    </row>
    <row r="1385" spans="1:5">
      <c r="A1385" s="8" t="str">
        <f t="shared" ca="1" si="22"/>
        <v/>
      </c>
      <c r="B1385" s="12"/>
      <c r="C1385" s="4"/>
      <c r="D1385" s="11"/>
      <c r="E1385" s="2"/>
    </row>
    <row r="1386" spans="1:5">
      <c r="A1386" s="8" t="str">
        <f t="shared" ca="1" si="22"/>
        <v/>
      </c>
      <c r="B1386" s="12"/>
      <c r="C1386" s="4"/>
      <c r="D1386" s="11"/>
      <c r="E1386" s="2"/>
    </row>
    <row r="1387" spans="1:5">
      <c r="A1387" s="8" t="str">
        <f t="shared" ca="1" si="22"/>
        <v/>
      </c>
      <c r="B1387" s="12"/>
      <c r="C1387" s="4"/>
      <c r="D1387" s="11"/>
      <c r="E1387" s="2"/>
    </row>
    <row r="1388" spans="1:5">
      <c r="A1388" s="8" t="str">
        <f t="shared" ca="1" si="22"/>
        <v/>
      </c>
      <c r="B1388" s="12"/>
      <c r="C1388" s="4"/>
      <c r="D1388" s="11"/>
      <c r="E1388" s="2"/>
    </row>
    <row r="1389" spans="1:5">
      <c r="A1389" s="8" t="str">
        <f t="shared" ca="1" si="22"/>
        <v/>
      </c>
      <c r="B1389" s="12"/>
      <c r="C1389" s="4"/>
      <c r="D1389" s="11"/>
      <c r="E1389" s="2"/>
    </row>
    <row r="1390" spans="1:5">
      <c r="A1390" s="8" t="str">
        <f t="shared" ca="1" si="22"/>
        <v/>
      </c>
      <c r="B1390" s="12"/>
      <c r="C1390" s="4"/>
      <c r="D1390" s="11"/>
      <c r="E1390" s="2"/>
    </row>
    <row r="1391" spans="1:5">
      <c r="A1391" s="8" t="str">
        <f t="shared" ca="1" si="22"/>
        <v/>
      </c>
      <c r="B1391" s="12"/>
      <c r="C1391" s="4"/>
      <c r="D1391" s="11"/>
      <c r="E1391" s="2"/>
    </row>
    <row r="1392" spans="1:5">
      <c r="A1392" s="8" t="str">
        <f t="shared" ca="1" si="22"/>
        <v/>
      </c>
      <c r="B1392" s="12"/>
      <c r="C1392" s="4"/>
      <c r="D1392" s="11"/>
      <c r="E1392" s="2"/>
    </row>
    <row r="1393" spans="1:5">
      <c r="A1393" s="8" t="str">
        <f t="shared" ca="1" si="22"/>
        <v/>
      </c>
      <c r="B1393" s="12"/>
      <c r="C1393" s="4"/>
      <c r="D1393" s="11"/>
      <c r="E1393" s="2"/>
    </row>
    <row r="1394" spans="1:5">
      <c r="A1394" s="8" t="str">
        <f t="shared" ca="1" si="22"/>
        <v/>
      </c>
      <c r="B1394" s="12"/>
      <c r="C1394" s="4"/>
      <c r="D1394" s="11"/>
      <c r="E1394" s="2"/>
    </row>
    <row r="1395" spans="1:5">
      <c r="A1395" s="8" t="str">
        <f t="shared" ca="1" si="22"/>
        <v/>
      </c>
      <c r="B1395" s="12"/>
      <c r="C1395" s="4"/>
      <c r="D1395" s="11"/>
      <c r="E1395" s="2"/>
    </row>
    <row r="1396" spans="1:5">
      <c r="A1396" s="8" t="str">
        <f t="shared" ca="1" si="22"/>
        <v/>
      </c>
      <c r="B1396" s="12"/>
      <c r="C1396" s="4"/>
      <c r="D1396" s="11"/>
      <c r="E1396" s="2"/>
    </row>
    <row r="1397" spans="1:5">
      <c r="A1397" s="8" t="str">
        <f t="shared" ca="1" si="22"/>
        <v/>
      </c>
      <c r="B1397" s="12"/>
      <c r="C1397" s="4"/>
      <c r="D1397" s="11"/>
      <c r="E1397" s="2"/>
    </row>
    <row r="1398" spans="1:5">
      <c r="A1398" s="8" t="str">
        <f t="shared" ca="1" si="22"/>
        <v/>
      </c>
      <c r="B1398" s="12"/>
      <c r="C1398" s="4"/>
      <c r="D1398" s="11"/>
      <c r="E1398" s="2"/>
    </row>
    <row r="1399" spans="1:5">
      <c r="A1399" s="8" t="str">
        <f t="shared" ca="1" si="22"/>
        <v/>
      </c>
      <c r="B1399" s="12"/>
      <c r="C1399" s="4"/>
      <c r="D1399" s="11"/>
      <c r="E1399" s="2"/>
    </row>
    <row r="1400" spans="1:5">
      <c r="A1400" s="8" t="str">
        <f t="shared" ca="1" si="22"/>
        <v/>
      </c>
      <c r="B1400" s="12"/>
      <c r="C1400" s="4"/>
      <c r="D1400" s="11"/>
      <c r="E1400" s="2"/>
    </row>
    <row r="1401" spans="1:5">
      <c r="A1401" s="8" t="str">
        <f t="shared" ca="1" si="22"/>
        <v/>
      </c>
      <c r="B1401" s="12"/>
      <c r="C1401" s="4"/>
      <c r="D1401" s="11"/>
      <c r="E1401" s="2"/>
    </row>
    <row r="1402" spans="1:5">
      <c r="A1402" s="8" t="str">
        <f t="shared" ca="1" si="22"/>
        <v/>
      </c>
      <c r="B1402" s="12"/>
      <c r="C1402" s="4"/>
      <c r="D1402" s="11"/>
      <c r="E1402" s="2"/>
    </row>
    <row r="1403" spans="1:5">
      <c r="A1403" s="8" t="str">
        <f t="shared" ca="1" si="22"/>
        <v/>
      </c>
      <c r="B1403" s="12"/>
      <c r="C1403" s="4"/>
      <c r="D1403" s="11"/>
      <c r="E1403" s="2"/>
    </row>
    <row r="1404" spans="1:5">
      <c r="A1404" s="8" t="str">
        <f t="shared" ca="1" si="22"/>
        <v/>
      </c>
      <c r="B1404" s="12"/>
      <c r="C1404" s="4"/>
      <c r="D1404" s="11"/>
      <c r="E1404" s="2"/>
    </row>
    <row r="1405" spans="1:5">
      <c r="A1405" s="8" t="str">
        <f t="shared" ca="1" si="22"/>
        <v/>
      </c>
      <c r="B1405" s="12"/>
      <c r="C1405" s="4"/>
      <c r="D1405" s="11"/>
      <c r="E1405" s="2"/>
    </row>
    <row r="1406" spans="1:5">
      <c r="A1406" s="8" t="str">
        <f t="shared" ca="1" si="22"/>
        <v/>
      </c>
      <c r="B1406" s="12"/>
      <c r="C1406" s="4"/>
      <c r="D1406" s="11"/>
      <c r="E1406" s="2"/>
    </row>
    <row r="1407" spans="1:5">
      <c r="A1407" s="8" t="str">
        <f t="shared" ca="1" si="22"/>
        <v/>
      </c>
      <c r="B1407" s="12"/>
      <c r="C1407" s="4"/>
      <c r="D1407" s="11"/>
      <c r="E1407" s="2"/>
    </row>
    <row r="1408" spans="1:5">
      <c r="A1408" s="8" t="str">
        <f t="shared" ca="1" si="22"/>
        <v/>
      </c>
      <c r="B1408" s="12"/>
      <c r="C1408" s="4"/>
      <c r="D1408" s="11"/>
      <c r="E1408" s="2"/>
    </row>
    <row r="1409" spans="1:5">
      <c r="A1409" s="8" t="str">
        <f t="shared" ca="1" si="22"/>
        <v/>
      </c>
      <c r="B1409" s="12"/>
      <c r="C1409" s="4"/>
      <c r="D1409" s="11"/>
      <c r="E1409" s="2"/>
    </row>
    <row r="1410" spans="1:5">
      <c r="A1410" s="8" t="str">
        <f t="shared" ca="1" si="22"/>
        <v/>
      </c>
      <c r="B1410" s="12"/>
      <c r="C1410" s="4"/>
      <c r="D1410" s="11"/>
      <c r="E1410" s="2"/>
    </row>
    <row r="1411" spans="1:5">
      <c r="A1411" s="8" t="str">
        <f t="shared" ca="1" si="22"/>
        <v/>
      </c>
      <c r="B1411" s="12"/>
      <c r="C1411" s="4"/>
      <c r="D1411" s="11"/>
      <c r="E1411" s="2"/>
    </row>
    <row r="1412" spans="1:5">
      <c r="A1412" s="8" t="str">
        <f t="shared" ca="1" si="22"/>
        <v/>
      </c>
      <c r="B1412" s="12"/>
      <c r="C1412" s="4"/>
      <c r="D1412" s="11"/>
      <c r="E1412" s="2"/>
    </row>
    <row r="1413" spans="1:5">
      <c r="A1413" s="8" t="str">
        <f t="shared" ca="1" si="22"/>
        <v/>
      </c>
      <c r="B1413" s="12"/>
      <c r="C1413" s="4"/>
      <c r="D1413" s="11"/>
      <c r="E1413" s="2"/>
    </row>
    <row r="1414" spans="1:5">
      <c r="A1414" s="8" t="str">
        <f t="shared" ca="1" si="22"/>
        <v/>
      </c>
      <c r="B1414" s="12"/>
      <c r="C1414" s="4"/>
      <c r="D1414" s="11"/>
      <c r="E1414" s="2"/>
    </row>
    <row r="1415" spans="1:5">
      <c r="A1415" s="8" t="str">
        <f t="shared" ca="1" si="22"/>
        <v/>
      </c>
      <c r="B1415" s="12"/>
      <c r="C1415" s="4"/>
      <c r="D1415" s="11"/>
      <c r="E1415" s="2"/>
    </row>
    <row r="1416" spans="1:5">
      <c r="A1416" s="8" t="str">
        <f t="shared" ca="1" si="22"/>
        <v/>
      </c>
      <c r="B1416" s="12"/>
      <c r="C1416" s="4"/>
      <c r="D1416" s="11"/>
      <c r="E1416" s="2"/>
    </row>
    <row r="1417" spans="1:5">
      <c r="A1417" s="8" t="str">
        <f t="shared" ca="1" si="22"/>
        <v/>
      </c>
      <c r="B1417" s="12"/>
      <c r="C1417" s="4"/>
      <c r="D1417" s="11"/>
      <c r="E1417" s="2"/>
    </row>
    <row r="1418" spans="1:5">
      <c r="A1418" s="8" t="str">
        <f t="shared" ref="A1418:A1481" ca="1" si="23">IF(B1418="","",IF(A1418="",TODAY(),A1418))</f>
        <v/>
      </c>
      <c r="B1418" s="12"/>
      <c r="C1418" s="4"/>
      <c r="D1418" s="11"/>
      <c r="E1418" s="2"/>
    </row>
    <row r="1419" spans="1:5">
      <c r="A1419" s="8" t="str">
        <f t="shared" ca="1" si="23"/>
        <v/>
      </c>
      <c r="B1419" s="12"/>
      <c r="C1419" s="4"/>
      <c r="D1419" s="11"/>
      <c r="E1419" s="2"/>
    </row>
    <row r="1420" spans="1:5">
      <c r="A1420" s="8" t="str">
        <f t="shared" ca="1" si="23"/>
        <v/>
      </c>
      <c r="B1420" s="12"/>
      <c r="C1420" s="4"/>
      <c r="D1420" s="11"/>
      <c r="E1420" s="2"/>
    </row>
    <row r="1421" spans="1:5">
      <c r="A1421" s="8" t="str">
        <f t="shared" ca="1" si="23"/>
        <v/>
      </c>
      <c r="B1421" s="12"/>
      <c r="C1421" s="4"/>
      <c r="D1421" s="11"/>
      <c r="E1421" s="2"/>
    </row>
    <row r="1422" spans="1:5">
      <c r="A1422" s="8" t="str">
        <f t="shared" ca="1" si="23"/>
        <v/>
      </c>
      <c r="B1422" s="12"/>
      <c r="C1422" s="4"/>
      <c r="D1422" s="11"/>
      <c r="E1422" s="2"/>
    </row>
    <row r="1423" spans="1:5">
      <c r="A1423" s="8" t="str">
        <f t="shared" ca="1" si="23"/>
        <v/>
      </c>
      <c r="B1423" s="12"/>
      <c r="C1423" s="4"/>
      <c r="D1423" s="11"/>
      <c r="E1423" s="2"/>
    </row>
    <row r="1424" spans="1:5">
      <c r="A1424" s="8" t="str">
        <f t="shared" ca="1" si="23"/>
        <v/>
      </c>
      <c r="B1424" s="12"/>
      <c r="C1424" s="4"/>
      <c r="D1424" s="11"/>
      <c r="E1424" s="2"/>
    </row>
    <row r="1425" spans="1:5">
      <c r="A1425" s="8" t="str">
        <f t="shared" ca="1" si="23"/>
        <v/>
      </c>
      <c r="B1425" s="12"/>
      <c r="C1425" s="4"/>
      <c r="D1425" s="11"/>
      <c r="E1425" s="2"/>
    </row>
    <row r="1426" spans="1:5">
      <c r="A1426" s="8" t="str">
        <f t="shared" ca="1" si="23"/>
        <v/>
      </c>
      <c r="B1426" s="12"/>
      <c r="C1426" s="4"/>
      <c r="D1426" s="11"/>
      <c r="E1426" s="2"/>
    </row>
    <row r="1427" spans="1:5">
      <c r="A1427" s="8" t="str">
        <f t="shared" ca="1" si="23"/>
        <v/>
      </c>
      <c r="B1427" s="12"/>
      <c r="C1427" s="4"/>
      <c r="D1427" s="11"/>
      <c r="E1427" s="2"/>
    </row>
    <row r="1428" spans="1:5">
      <c r="A1428" s="8" t="str">
        <f t="shared" ca="1" si="23"/>
        <v/>
      </c>
      <c r="B1428" s="12"/>
      <c r="C1428" s="4"/>
      <c r="D1428" s="11"/>
      <c r="E1428" s="2"/>
    </row>
    <row r="1429" spans="1:5">
      <c r="A1429" s="8" t="str">
        <f t="shared" ca="1" si="23"/>
        <v/>
      </c>
      <c r="B1429" s="12"/>
      <c r="C1429" s="4"/>
      <c r="D1429" s="11"/>
      <c r="E1429" s="2"/>
    </row>
    <row r="1430" spans="1:5">
      <c r="A1430" s="8" t="str">
        <f t="shared" ca="1" si="23"/>
        <v/>
      </c>
      <c r="B1430" s="12"/>
      <c r="C1430" s="4"/>
      <c r="D1430" s="11"/>
      <c r="E1430" s="2"/>
    </row>
    <row r="1431" spans="1:5">
      <c r="A1431" s="8" t="str">
        <f t="shared" ca="1" si="23"/>
        <v/>
      </c>
      <c r="B1431" s="12"/>
      <c r="C1431" s="4"/>
      <c r="D1431" s="11"/>
      <c r="E1431" s="2"/>
    </row>
    <row r="1432" spans="1:5">
      <c r="A1432" s="8" t="str">
        <f t="shared" ca="1" si="23"/>
        <v/>
      </c>
      <c r="B1432" s="12"/>
      <c r="C1432" s="4"/>
      <c r="D1432" s="11"/>
      <c r="E1432" s="2"/>
    </row>
    <row r="1433" spans="1:5">
      <c r="A1433" s="8" t="str">
        <f t="shared" ca="1" si="23"/>
        <v/>
      </c>
      <c r="B1433" s="12"/>
      <c r="C1433" s="4"/>
      <c r="D1433" s="11"/>
      <c r="E1433" s="2"/>
    </row>
    <row r="1434" spans="1:5">
      <c r="A1434" s="8" t="str">
        <f t="shared" ca="1" si="23"/>
        <v/>
      </c>
      <c r="B1434" s="12"/>
      <c r="C1434" s="4"/>
      <c r="D1434" s="11"/>
      <c r="E1434" s="2"/>
    </row>
    <row r="1435" spans="1:5">
      <c r="A1435" s="8" t="str">
        <f t="shared" ca="1" si="23"/>
        <v/>
      </c>
      <c r="B1435" s="12"/>
      <c r="C1435" s="4"/>
      <c r="D1435" s="11"/>
      <c r="E1435" s="2"/>
    </row>
    <row r="1436" spans="1:5">
      <c r="A1436" s="8" t="str">
        <f t="shared" ca="1" si="23"/>
        <v/>
      </c>
      <c r="B1436" s="12"/>
      <c r="C1436" s="4"/>
      <c r="D1436" s="11"/>
      <c r="E1436" s="2"/>
    </row>
    <row r="1437" spans="1:5">
      <c r="A1437" s="8" t="str">
        <f t="shared" ca="1" si="23"/>
        <v/>
      </c>
      <c r="B1437" s="12"/>
      <c r="C1437" s="4"/>
      <c r="D1437" s="11"/>
      <c r="E1437" s="2"/>
    </row>
    <row r="1438" spans="1:5">
      <c r="A1438" s="8" t="str">
        <f t="shared" ca="1" si="23"/>
        <v/>
      </c>
      <c r="B1438" s="12"/>
      <c r="C1438" s="4"/>
      <c r="D1438" s="11"/>
      <c r="E1438" s="2"/>
    </row>
    <row r="1439" spans="1:5">
      <c r="A1439" s="8" t="str">
        <f t="shared" ca="1" si="23"/>
        <v/>
      </c>
      <c r="B1439" s="12"/>
      <c r="C1439" s="4"/>
      <c r="D1439" s="11"/>
      <c r="E1439" s="2"/>
    </row>
    <row r="1440" spans="1:5">
      <c r="A1440" s="8" t="str">
        <f t="shared" ca="1" si="23"/>
        <v/>
      </c>
      <c r="B1440" s="12"/>
      <c r="C1440" s="4"/>
      <c r="D1440" s="11"/>
      <c r="E1440" s="2"/>
    </row>
    <row r="1441" spans="1:5">
      <c r="A1441" s="8" t="str">
        <f t="shared" ca="1" si="23"/>
        <v/>
      </c>
      <c r="B1441" s="12"/>
      <c r="C1441" s="4"/>
      <c r="D1441" s="11"/>
      <c r="E1441" s="2"/>
    </row>
    <row r="1442" spans="1:5">
      <c r="A1442" s="8" t="str">
        <f t="shared" ca="1" si="23"/>
        <v/>
      </c>
      <c r="B1442" s="12"/>
      <c r="C1442" s="4"/>
      <c r="D1442" s="11"/>
      <c r="E1442" s="2"/>
    </row>
    <row r="1443" spans="1:5">
      <c r="A1443" s="8" t="str">
        <f t="shared" ca="1" si="23"/>
        <v/>
      </c>
      <c r="B1443" s="12"/>
      <c r="C1443" s="4"/>
      <c r="D1443" s="11"/>
      <c r="E1443" s="2"/>
    </row>
    <row r="1444" spans="1:5">
      <c r="A1444" s="8" t="str">
        <f t="shared" ca="1" si="23"/>
        <v/>
      </c>
      <c r="B1444" s="12"/>
      <c r="C1444" s="4"/>
      <c r="D1444" s="11"/>
      <c r="E1444" s="2"/>
    </row>
    <row r="1445" spans="1:5">
      <c r="A1445" s="8" t="str">
        <f t="shared" ca="1" si="23"/>
        <v/>
      </c>
      <c r="B1445" s="12"/>
      <c r="C1445" s="4"/>
      <c r="D1445" s="11"/>
      <c r="E1445" s="2"/>
    </row>
    <row r="1446" spans="1:5">
      <c r="A1446" s="8" t="str">
        <f t="shared" ca="1" si="23"/>
        <v/>
      </c>
      <c r="B1446" s="12"/>
      <c r="C1446" s="4"/>
      <c r="D1446" s="11"/>
      <c r="E1446" s="2"/>
    </row>
    <row r="1447" spans="1:5">
      <c r="A1447" s="8" t="str">
        <f t="shared" ca="1" si="23"/>
        <v/>
      </c>
      <c r="B1447" s="12"/>
      <c r="C1447" s="4"/>
      <c r="D1447" s="11"/>
      <c r="E1447" s="2"/>
    </row>
    <row r="1448" spans="1:5">
      <c r="A1448" s="8" t="str">
        <f t="shared" ca="1" si="23"/>
        <v/>
      </c>
      <c r="B1448" s="12"/>
      <c r="C1448" s="4"/>
      <c r="D1448" s="11"/>
      <c r="E1448" s="2"/>
    </row>
    <row r="1449" spans="1:5">
      <c r="A1449" s="8" t="str">
        <f t="shared" ca="1" si="23"/>
        <v/>
      </c>
      <c r="B1449" s="12"/>
      <c r="C1449" s="4"/>
      <c r="D1449" s="11"/>
      <c r="E1449" s="2"/>
    </row>
    <row r="1450" spans="1:5">
      <c r="A1450" s="8" t="str">
        <f t="shared" ca="1" si="23"/>
        <v/>
      </c>
      <c r="B1450" s="12"/>
      <c r="C1450" s="4"/>
      <c r="D1450" s="11"/>
      <c r="E1450" s="2"/>
    </row>
    <row r="1451" spans="1:5">
      <c r="A1451" s="8" t="str">
        <f t="shared" ca="1" si="23"/>
        <v/>
      </c>
      <c r="B1451" s="12"/>
      <c r="C1451" s="4"/>
      <c r="D1451" s="11"/>
      <c r="E1451" s="2"/>
    </row>
    <row r="1452" spans="1:5">
      <c r="A1452" s="8" t="str">
        <f t="shared" ca="1" si="23"/>
        <v/>
      </c>
      <c r="B1452" s="12"/>
      <c r="C1452" s="4"/>
      <c r="D1452" s="11"/>
      <c r="E1452" s="2"/>
    </row>
    <row r="1453" spans="1:5">
      <c r="A1453" s="8" t="str">
        <f t="shared" ca="1" si="23"/>
        <v/>
      </c>
      <c r="B1453" s="12"/>
      <c r="C1453" s="4"/>
      <c r="D1453" s="11"/>
      <c r="E1453" s="2"/>
    </row>
    <row r="1454" spans="1:5">
      <c r="A1454" s="8" t="str">
        <f t="shared" ca="1" si="23"/>
        <v/>
      </c>
      <c r="B1454" s="12"/>
      <c r="C1454" s="4"/>
      <c r="D1454" s="11"/>
      <c r="E1454" s="2"/>
    </row>
    <row r="1455" spans="1:5">
      <c r="A1455" s="8" t="str">
        <f t="shared" ca="1" si="23"/>
        <v/>
      </c>
      <c r="B1455" s="12"/>
      <c r="C1455" s="4"/>
      <c r="D1455" s="11"/>
      <c r="E1455" s="2"/>
    </row>
    <row r="1456" spans="1:5">
      <c r="A1456" s="8" t="str">
        <f t="shared" ca="1" si="23"/>
        <v/>
      </c>
      <c r="B1456" s="12"/>
      <c r="C1456" s="4"/>
      <c r="D1456" s="11"/>
      <c r="E1456" s="2"/>
    </row>
    <row r="1457" spans="1:5">
      <c r="A1457" s="8" t="str">
        <f t="shared" ca="1" si="23"/>
        <v/>
      </c>
      <c r="B1457" s="12"/>
      <c r="C1457" s="4"/>
      <c r="D1457" s="11"/>
      <c r="E1457" s="2"/>
    </row>
    <row r="1458" spans="1:5">
      <c r="A1458" s="8" t="str">
        <f t="shared" ca="1" si="23"/>
        <v/>
      </c>
      <c r="B1458" s="12"/>
      <c r="C1458" s="4"/>
      <c r="D1458" s="11"/>
      <c r="E1458" s="2"/>
    </row>
    <row r="1459" spans="1:5">
      <c r="A1459" s="8" t="str">
        <f t="shared" ca="1" si="23"/>
        <v/>
      </c>
      <c r="B1459" s="12"/>
      <c r="C1459" s="4"/>
      <c r="D1459" s="11"/>
      <c r="E1459" s="2"/>
    </row>
    <row r="1460" spans="1:5">
      <c r="A1460" s="8" t="str">
        <f t="shared" ca="1" si="23"/>
        <v/>
      </c>
      <c r="B1460" s="12"/>
      <c r="C1460" s="4"/>
      <c r="D1460" s="11"/>
      <c r="E1460" s="2"/>
    </row>
    <row r="1461" spans="1:5">
      <c r="A1461" s="8" t="str">
        <f t="shared" ca="1" si="23"/>
        <v/>
      </c>
      <c r="B1461" s="12"/>
      <c r="C1461" s="4"/>
      <c r="D1461" s="11"/>
      <c r="E1461" s="2"/>
    </row>
    <row r="1462" spans="1:5">
      <c r="A1462" s="8" t="str">
        <f t="shared" ca="1" si="23"/>
        <v/>
      </c>
      <c r="B1462" s="12"/>
      <c r="C1462" s="4"/>
      <c r="D1462" s="11"/>
      <c r="E1462" s="2"/>
    </row>
    <row r="1463" spans="1:5">
      <c r="A1463" s="8" t="str">
        <f t="shared" ca="1" si="23"/>
        <v/>
      </c>
      <c r="B1463" s="12"/>
      <c r="C1463" s="4"/>
      <c r="D1463" s="11"/>
      <c r="E1463" s="2"/>
    </row>
    <row r="1464" spans="1:5">
      <c r="A1464" s="8" t="str">
        <f t="shared" ca="1" si="23"/>
        <v/>
      </c>
      <c r="B1464" s="12"/>
      <c r="C1464" s="4"/>
      <c r="D1464" s="11"/>
      <c r="E1464" s="2"/>
    </row>
    <row r="1465" spans="1:5">
      <c r="A1465" s="8" t="str">
        <f t="shared" ca="1" si="23"/>
        <v/>
      </c>
      <c r="B1465" s="12"/>
      <c r="C1465" s="4"/>
      <c r="D1465" s="11"/>
      <c r="E1465" s="2"/>
    </row>
    <row r="1466" spans="1:5">
      <c r="A1466" s="8" t="str">
        <f t="shared" ca="1" si="23"/>
        <v/>
      </c>
      <c r="B1466" s="12"/>
      <c r="C1466" s="4"/>
      <c r="D1466" s="11"/>
      <c r="E1466" s="2"/>
    </row>
    <row r="1467" spans="1:5">
      <c r="A1467" s="8" t="str">
        <f t="shared" ca="1" si="23"/>
        <v/>
      </c>
      <c r="B1467" s="12"/>
      <c r="C1467" s="4"/>
      <c r="D1467" s="11"/>
      <c r="E1467" s="2"/>
    </row>
    <row r="1468" spans="1:5">
      <c r="A1468" s="8" t="str">
        <f t="shared" ca="1" si="23"/>
        <v/>
      </c>
      <c r="B1468" s="12"/>
      <c r="C1468" s="4"/>
      <c r="D1468" s="11"/>
      <c r="E1468" s="2"/>
    </row>
    <row r="1469" spans="1:5">
      <c r="A1469" s="8" t="str">
        <f t="shared" ca="1" si="23"/>
        <v/>
      </c>
      <c r="B1469" s="12"/>
      <c r="C1469" s="4"/>
      <c r="D1469" s="11"/>
      <c r="E1469" s="2"/>
    </row>
    <row r="1470" spans="1:5">
      <c r="A1470" s="8" t="str">
        <f t="shared" ca="1" si="23"/>
        <v/>
      </c>
      <c r="B1470" s="12"/>
      <c r="C1470" s="4"/>
      <c r="D1470" s="11"/>
      <c r="E1470" s="2"/>
    </row>
    <row r="1471" spans="1:5">
      <c r="A1471" s="8" t="str">
        <f t="shared" ca="1" si="23"/>
        <v/>
      </c>
      <c r="B1471" s="12"/>
      <c r="C1471" s="4"/>
      <c r="D1471" s="11"/>
      <c r="E1471" s="2"/>
    </row>
    <row r="1472" spans="1:5">
      <c r="A1472" s="8" t="str">
        <f t="shared" ca="1" si="23"/>
        <v/>
      </c>
      <c r="B1472" s="12"/>
      <c r="C1472" s="4"/>
      <c r="D1472" s="11"/>
      <c r="E1472" s="2"/>
    </row>
    <row r="1473" spans="1:5">
      <c r="A1473" s="8" t="str">
        <f t="shared" ca="1" si="23"/>
        <v/>
      </c>
      <c r="B1473" s="12"/>
      <c r="C1473" s="4"/>
      <c r="D1473" s="11"/>
      <c r="E1473" s="2"/>
    </row>
    <row r="1474" spans="1:5">
      <c r="A1474" s="8" t="str">
        <f t="shared" ca="1" si="23"/>
        <v/>
      </c>
      <c r="B1474" s="12"/>
      <c r="C1474" s="4"/>
      <c r="D1474" s="11"/>
      <c r="E1474" s="2"/>
    </row>
    <row r="1475" spans="1:5">
      <c r="A1475" s="8" t="str">
        <f t="shared" ca="1" si="23"/>
        <v/>
      </c>
      <c r="B1475" s="12"/>
      <c r="C1475" s="4"/>
      <c r="D1475" s="11"/>
      <c r="E1475" s="2"/>
    </row>
    <row r="1476" spans="1:5">
      <c r="A1476" s="8" t="str">
        <f t="shared" ca="1" si="23"/>
        <v/>
      </c>
      <c r="B1476" s="12"/>
      <c r="C1476" s="4"/>
      <c r="D1476" s="11"/>
      <c r="E1476" s="2"/>
    </row>
    <row r="1477" spans="1:5">
      <c r="A1477" s="8" t="str">
        <f t="shared" ca="1" si="23"/>
        <v/>
      </c>
      <c r="B1477" s="12"/>
      <c r="C1477" s="4"/>
      <c r="D1477" s="11"/>
      <c r="E1477" s="2"/>
    </row>
    <row r="1478" spans="1:5">
      <c r="A1478" s="8" t="str">
        <f t="shared" ca="1" si="23"/>
        <v/>
      </c>
      <c r="B1478" s="12"/>
      <c r="C1478" s="4"/>
      <c r="D1478" s="11"/>
      <c r="E1478" s="2"/>
    </row>
    <row r="1479" spans="1:5">
      <c r="A1479" s="8" t="str">
        <f t="shared" ca="1" si="23"/>
        <v/>
      </c>
      <c r="B1479" s="12"/>
      <c r="C1479" s="4"/>
      <c r="D1479" s="11"/>
      <c r="E1479" s="2"/>
    </row>
    <row r="1480" spans="1:5">
      <c r="A1480" s="8" t="str">
        <f t="shared" ca="1" si="23"/>
        <v/>
      </c>
      <c r="B1480" s="12"/>
      <c r="C1480" s="4"/>
      <c r="D1480" s="11"/>
      <c r="E1480" s="2"/>
    </row>
    <row r="1481" spans="1:5">
      <c r="A1481" s="8" t="str">
        <f t="shared" ca="1" si="23"/>
        <v/>
      </c>
      <c r="B1481" s="12"/>
      <c r="C1481" s="4"/>
      <c r="D1481" s="11"/>
      <c r="E1481" s="2"/>
    </row>
    <row r="1482" spans="1:5">
      <c r="A1482" s="8" t="str">
        <f t="shared" ref="A1482:A1545" ca="1" si="24">IF(B1482="","",IF(A1482="",TODAY(),A1482))</f>
        <v/>
      </c>
      <c r="B1482" s="12"/>
      <c r="C1482" s="4"/>
      <c r="D1482" s="11"/>
      <c r="E1482" s="2"/>
    </row>
    <row r="1483" spans="1:5">
      <c r="A1483" s="8" t="str">
        <f t="shared" ca="1" si="24"/>
        <v/>
      </c>
      <c r="B1483" s="12"/>
      <c r="C1483" s="4"/>
      <c r="D1483" s="11"/>
      <c r="E1483" s="2"/>
    </row>
    <row r="1484" spans="1:5">
      <c r="A1484" s="8" t="str">
        <f t="shared" ca="1" si="24"/>
        <v/>
      </c>
      <c r="B1484" s="12"/>
      <c r="C1484" s="4"/>
      <c r="D1484" s="11"/>
      <c r="E1484" s="2"/>
    </row>
    <row r="1485" spans="1:5">
      <c r="A1485" s="8" t="str">
        <f t="shared" ca="1" si="24"/>
        <v/>
      </c>
      <c r="B1485" s="12"/>
      <c r="C1485" s="4"/>
      <c r="D1485" s="11"/>
      <c r="E1485" s="2"/>
    </row>
    <row r="1486" spans="1:5">
      <c r="A1486" s="8" t="str">
        <f t="shared" ca="1" si="24"/>
        <v/>
      </c>
      <c r="B1486" s="12"/>
      <c r="C1486" s="4"/>
      <c r="D1486" s="11"/>
      <c r="E1486" s="2"/>
    </row>
    <row r="1487" spans="1:5">
      <c r="A1487" s="8" t="str">
        <f t="shared" ca="1" si="24"/>
        <v/>
      </c>
      <c r="B1487" s="12"/>
      <c r="C1487" s="4"/>
      <c r="D1487" s="11"/>
      <c r="E1487" s="2"/>
    </row>
    <row r="1488" spans="1:5">
      <c r="A1488" s="8" t="str">
        <f t="shared" ca="1" si="24"/>
        <v/>
      </c>
      <c r="B1488" s="12"/>
      <c r="C1488" s="4"/>
      <c r="D1488" s="11"/>
      <c r="E1488" s="2"/>
    </row>
    <row r="1489" spans="1:5">
      <c r="A1489" s="8" t="str">
        <f t="shared" ca="1" si="24"/>
        <v/>
      </c>
      <c r="B1489" s="12"/>
      <c r="C1489" s="4"/>
      <c r="D1489" s="11"/>
      <c r="E1489" s="2"/>
    </row>
    <row r="1490" spans="1:5">
      <c r="A1490" s="8" t="str">
        <f t="shared" ca="1" si="24"/>
        <v/>
      </c>
      <c r="B1490" s="12"/>
      <c r="C1490" s="4"/>
      <c r="D1490" s="11"/>
      <c r="E1490" s="2"/>
    </row>
    <row r="1491" spans="1:5">
      <c r="A1491" s="8" t="str">
        <f t="shared" ca="1" si="24"/>
        <v/>
      </c>
      <c r="B1491" s="12"/>
      <c r="C1491" s="4"/>
      <c r="D1491" s="11"/>
      <c r="E1491" s="2"/>
    </row>
    <row r="1492" spans="1:5">
      <c r="A1492" s="8" t="str">
        <f t="shared" ca="1" si="24"/>
        <v/>
      </c>
      <c r="B1492" s="12"/>
      <c r="C1492" s="4"/>
      <c r="D1492" s="11"/>
      <c r="E1492" s="2"/>
    </row>
    <row r="1493" spans="1:5">
      <c r="A1493" s="8" t="str">
        <f t="shared" ca="1" si="24"/>
        <v/>
      </c>
      <c r="B1493" s="12"/>
      <c r="C1493" s="4"/>
      <c r="D1493" s="11"/>
      <c r="E1493" s="2"/>
    </row>
    <row r="1494" spans="1:5">
      <c r="A1494" s="8" t="str">
        <f t="shared" ca="1" si="24"/>
        <v/>
      </c>
      <c r="B1494" s="12"/>
      <c r="C1494" s="4"/>
      <c r="D1494" s="11"/>
      <c r="E1494" s="2"/>
    </row>
    <row r="1495" spans="1:5">
      <c r="A1495" s="8" t="str">
        <f t="shared" ca="1" si="24"/>
        <v/>
      </c>
      <c r="B1495" s="12"/>
      <c r="C1495" s="4"/>
      <c r="D1495" s="11"/>
      <c r="E1495" s="2"/>
    </row>
    <row r="1496" spans="1:5">
      <c r="A1496" s="8" t="str">
        <f t="shared" ca="1" si="24"/>
        <v/>
      </c>
      <c r="B1496" s="12"/>
      <c r="C1496" s="4"/>
      <c r="D1496" s="11"/>
      <c r="E1496" s="2"/>
    </row>
    <row r="1497" spans="1:5">
      <c r="A1497" s="8" t="str">
        <f t="shared" ca="1" si="24"/>
        <v/>
      </c>
      <c r="B1497" s="12"/>
      <c r="C1497" s="4"/>
      <c r="D1497" s="11"/>
      <c r="E1497" s="2"/>
    </row>
    <row r="1498" spans="1:5">
      <c r="A1498" s="8" t="str">
        <f t="shared" ca="1" si="24"/>
        <v/>
      </c>
      <c r="B1498" s="12"/>
      <c r="C1498" s="4"/>
      <c r="D1498" s="11"/>
      <c r="E1498" s="2"/>
    </row>
    <row r="1499" spans="1:5">
      <c r="A1499" s="8" t="str">
        <f t="shared" ca="1" si="24"/>
        <v/>
      </c>
      <c r="B1499" s="12"/>
      <c r="C1499" s="4"/>
      <c r="D1499" s="11"/>
      <c r="E1499" s="2"/>
    </row>
    <row r="1500" spans="1:5">
      <c r="A1500" s="8" t="str">
        <f t="shared" ca="1" si="24"/>
        <v/>
      </c>
      <c r="B1500" s="12"/>
      <c r="C1500" s="4"/>
      <c r="D1500" s="11"/>
      <c r="E1500" s="2"/>
    </row>
    <row r="1501" spans="1:5">
      <c r="A1501" s="8" t="str">
        <f t="shared" ca="1" si="24"/>
        <v/>
      </c>
      <c r="B1501" s="12"/>
      <c r="C1501" s="4"/>
      <c r="D1501" s="11"/>
      <c r="E1501" s="2"/>
    </row>
    <row r="1502" spans="1:5">
      <c r="A1502" s="8" t="str">
        <f t="shared" ca="1" si="24"/>
        <v/>
      </c>
      <c r="B1502" s="12"/>
      <c r="C1502" s="4"/>
      <c r="D1502" s="11"/>
      <c r="E1502" s="2"/>
    </row>
    <row r="1503" spans="1:5">
      <c r="A1503" s="8" t="str">
        <f t="shared" ca="1" si="24"/>
        <v/>
      </c>
      <c r="B1503" s="12"/>
      <c r="C1503" s="4"/>
      <c r="D1503" s="11"/>
      <c r="E1503" s="2"/>
    </row>
    <row r="1504" spans="1:5">
      <c r="A1504" s="8" t="str">
        <f t="shared" ca="1" si="24"/>
        <v/>
      </c>
      <c r="B1504" s="12"/>
      <c r="C1504" s="4"/>
      <c r="D1504" s="11"/>
      <c r="E1504" s="2"/>
    </row>
    <row r="1505" spans="1:5">
      <c r="A1505" s="8" t="str">
        <f t="shared" ca="1" si="24"/>
        <v/>
      </c>
      <c r="B1505" s="12"/>
      <c r="C1505" s="4"/>
      <c r="D1505" s="11"/>
      <c r="E1505" s="2"/>
    </row>
    <row r="1506" spans="1:5">
      <c r="A1506" s="8" t="str">
        <f t="shared" ca="1" si="24"/>
        <v/>
      </c>
      <c r="B1506" s="12"/>
      <c r="C1506" s="4"/>
      <c r="D1506" s="11"/>
      <c r="E1506" s="2"/>
    </row>
    <row r="1507" spans="1:5">
      <c r="A1507" s="8" t="str">
        <f t="shared" ca="1" si="24"/>
        <v/>
      </c>
      <c r="B1507" s="12"/>
      <c r="C1507" s="4"/>
      <c r="D1507" s="11"/>
      <c r="E1507" s="2"/>
    </row>
    <row r="1508" spans="1:5">
      <c r="A1508" s="8" t="str">
        <f t="shared" ca="1" si="24"/>
        <v/>
      </c>
      <c r="B1508" s="12"/>
      <c r="C1508" s="4"/>
      <c r="D1508" s="11"/>
      <c r="E1508" s="2"/>
    </row>
    <row r="1509" spans="1:5">
      <c r="A1509" s="8" t="str">
        <f t="shared" ca="1" si="24"/>
        <v/>
      </c>
      <c r="B1509" s="12"/>
      <c r="C1509" s="4"/>
      <c r="D1509" s="11"/>
      <c r="E1509" s="2"/>
    </row>
    <row r="1510" spans="1:5">
      <c r="A1510" s="8" t="str">
        <f t="shared" ca="1" si="24"/>
        <v/>
      </c>
      <c r="B1510" s="12"/>
      <c r="C1510" s="4"/>
      <c r="D1510" s="11"/>
      <c r="E1510" s="2"/>
    </row>
    <row r="1511" spans="1:5">
      <c r="A1511" s="8" t="str">
        <f t="shared" ca="1" si="24"/>
        <v/>
      </c>
      <c r="B1511" s="12"/>
      <c r="C1511" s="4"/>
      <c r="D1511" s="11"/>
      <c r="E1511" s="2"/>
    </row>
    <row r="1512" spans="1:5">
      <c r="A1512" s="8" t="str">
        <f t="shared" ca="1" si="24"/>
        <v/>
      </c>
      <c r="B1512" s="12"/>
      <c r="C1512" s="4"/>
      <c r="D1512" s="11"/>
      <c r="E1512" s="2"/>
    </row>
    <row r="1513" spans="1:5">
      <c r="A1513" s="8" t="str">
        <f t="shared" ca="1" si="24"/>
        <v/>
      </c>
      <c r="B1513" s="12"/>
      <c r="C1513" s="4"/>
      <c r="D1513" s="11"/>
      <c r="E1513" s="2"/>
    </row>
    <row r="1514" spans="1:5">
      <c r="A1514" s="8" t="str">
        <f t="shared" ca="1" si="24"/>
        <v/>
      </c>
      <c r="B1514" s="12"/>
      <c r="C1514" s="4"/>
      <c r="D1514" s="11"/>
      <c r="E1514" s="2"/>
    </row>
    <row r="1515" spans="1:5">
      <c r="A1515" s="8" t="str">
        <f t="shared" ca="1" si="24"/>
        <v/>
      </c>
      <c r="B1515" s="12"/>
      <c r="C1515" s="4"/>
      <c r="D1515" s="11"/>
      <c r="E1515" s="2"/>
    </row>
    <row r="1516" spans="1:5">
      <c r="A1516" s="8" t="str">
        <f t="shared" ca="1" si="24"/>
        <v/>
      </c>
      <c r="B1516" s="12"/>
      <c r="C1516" s="4"/>
      <c r="D1516" s="11"/>
      <c r="E1516" s="2"/>
    </row>
    <row r="1517" spans="1:5">
      <c r="A1517" s="8" t="str">
        <f t="shared" ca="1" si="24"/>
        <v/>
      </c>
      <c r="B1517" s="12"/>
      <c r="C1517" s="4"/>
      <c r="D1517" s="11"/>
      <c r="E1517" s="2"/>
    </row>
    <row r="1518" spans="1:5">
      <c r="A1518" s="8" t="str">
        <f t="shared" ca="1" si="24"/>
        <v/>
      </c>
      <c r="B1518" s="12"/>
      <c r="C1518" s="4"/>
      <c r="D1518" s="11"/>
      <c r="E1518" s="2"/>
    </row>
    <row r="1519" spans="1:5">
      <c r="A1519" s="8" t="str">
        <f t="shared" ca="1" si="24"/>
        <v/>
      </c>
      <c r="B1519" s="12"/>
      <c r="C1519" s="4"/>
      <c r="D1519" s="11"/>
      <c r="E1519" s="2"/>
    </row>
    <row r="1520" spans="1:5">
      <c r="A1520" s="8" t="str">
        <f t="shared" ca="1" si="24"/>
        <v/>
      </c>
      <c r="B1520" s="12"/>
      <c r="C1520" s="4"/>
      <c r="D1520" s="11"/>
      <c r="E1520" s="2"/>
    </row>
    <row r="1521" spans="1:5">
      <c r="A1521" s="8" t="str">
        <f t="shared" ca="1" si="24"/>
        <v/>
      </c>
      <c r="B1521" s="12"/>
      <c r="C1521" s="4"/>
      <c r="D1521" s="11"/>
      <c r="E1521" s="2"/>
    </row>
    <row r="1522" spans="1:5">
      <c r="A1522" s="8" t="str">
        <f t="shared" ca="1" si="24"/>
        <v/>
      </c>
      <c r="B1522" s="12"/>
      <c r="C1522" s="4"/>
      <c r="D1522" s="11"/>
      <c r="E1522" s="2"/>
    </row>
    <row r="1523" spans="1:5">
      <c r="A1523" s="8" t="str">
        <f t="shared" ca="1" si="24"/>
        <v/>
      </c>
      <c r="B1523" s="12"/>
      <c r="C1523" s="4"/>
      <c r="D1523" s="11"/>
      <c r="E1523" s="2"/>
    </row>
    <row r="1524" spans="1:5">
      <c r="A1524" s="8" t="str">
        <f t="shared" ca="1" si="24"/>
        <v/>
      </c>
      <c r="B1524" s="12"/>
      <c r="C1524" s="4"/>
      <c r="D1524" s="11"/>
      <c r="E1524" s="2"/>
    </row>
    <row r="1525" spans="1:5">
      <c r="A1525" s="8" t="str">
        <f t="shared" ca="1" si="24"/>
        <v/>
      </c>
      <c r="B1525" s="12"/>
      <c r="C1525" s="4"/>
      <c r="D1525" s="11"/>
      <c r="E1525" s="2"/>
    </row>
    <row r="1526" spans="1:5">
      <c r="A1526" s="8" t="str">
        <f t="shared" ca="1" si="24"/>
        <v/>
      </c>
      <c r="B1526" s="12"/>
      <c r="C1526" s="4"/>
      <c r="D1526" s="11"/>
      <c r="E1526" s="2"/>
    </row>
    <row r="1527" spans="1:5">
      <c r="A1527" s="8" t="str">
        <f t="shared" ca="1" si="24"/>
        <v/>
      </c>
      <c r="B1527" s="12"/>
      <c r="C1527" s="4"/>
      <c r="D1527" s="11"/>
      <c r="E1527" s="2"/>
    </row>
    <row r="1528" spans="1:5">
      <c r="A1528" s="8" t="str">
        <f t="shared" ca="1" si="24"/>
        <v/>
      </c>
      <c r="B1528" s="12"/>
      <c r="C1528" s="4"/>
      <c r="D1528" s="11"/>
      <c r="E1528" s="2"/>
    </row>
    <row r="1529" spans="1:5">
      <c r="A1529" s="8" t="str">
        <f t="shared" ca="1" si="24"/>
        <v/>
      </c>
      <c r="B1529" s="12"/>
      <c r="C1529" s="4"/>
      <c r="D1529" s="11"/>
      <c r="E1529" s="2"/>
    </row>
    <row r="1530" spans="1:5">
      <c r="A1530" s="8" t="str">
        <f t="shared" ca="1" si="24"/>
        <v/>
      </c>
      <c r="B1530" s="12"/>
      <c r="C1530" s="4"/>
      <c r="D1530" s="11"/>
      <c r="E1530" s="2"/>
    </row>
    <row r="1531" spans="1:5">
      <c r="A1531" s="8" t="str">
        <f t="shared" ca="1" si="24"/>
        <v/>
      </c>
      <c r="B1531" s="12"/>
      <c r="C1531" s="4"/>
      <c r="D1531" s="11"/>
      <c r="E1531" s="2"/>
    </row>
    <row r="1532" spans="1:5">
      <c r="A1532" s="8" t="str">
        <f t="shared" ca="1" si="24"/>
        <v/>
      </c>
      <c r="B1532" s="12"/>
      <c r="C1532" s="4"/>
      <c r="D1532" s="11"/>
      <c r="E1532" s="2"/>
    </row>
    <row r="1533" spans="1:5">
      <c r="A1533" s="8" t="str">
        <f t="shared" ca="1" si="24"/>
        <v/>
      </c>
      <c r="B1533" s="12"/>
      <c r="C1533" s="4"/>
      <c r="D1533" s="11"/>
      <c r="E1533" s="2"/>
    </row>
    <row r="1534" spans="1:5">
      <c r="A1534" s="8" t="str">
        <f t="shared" ca="1" si="24"/>
        <v/>
      </c>
      <c r="B1534" s="12"/>
      <c r="C1534" s="4"/>
      <c r="D1534" s="11"/>
      <c r="E1534" s="2"/>
    </row>
    <row r="1535" spans="1:5">
      <c r="A1535" s="8" t="str">
        <f t="shared" ca="1" si="24"/>
        <v/>
      </c>
      <c r="B1535" s="12"/>
      <c r="C1535" s="4"/>
      <c r="D1535" s="11"/>
      <c r="E1535" s="2"/>
    </row>
    <row r="1536" spans="1:5">
      <c r="A1536" s="8" t="str">
        <f t="shared" ca="1" si="24"/>
        <v/>
      </c>
      <c r="B1536" s="12"/>
      <c r="C1536" s="4"/>
      <c r="D1536" s="11"/>
      <c r="E1536" s="2"/>
    </row>
    <row r="1537" spans="1:5">
      <c r="A1537" s="8" t="str">
        <f t="shared" ca="1" si="24"/>
        <v/>
      </c>
      <c r="B1537" s="12"/>
      <c r="C1537" s="4"/>
      <c r="D1537" s="11"/>
      <c r="E1537" s="2"/>
    </row>
    <row r="1538" spans="1:5">
      <c r="A1538" s="8" t="str">
        <f t="shared" ca="1" si="24"/>
        <v/>
      </c>
      <c r="B1538" s="12"/>
      <c r="C1538" s="4"/>
      <c r="D1538" s="11"/>
      <c r="E1538" s="2"/>
    </row>
    <row r="1539" spans="1:5">
      <c r="A1539" s="8" t="str">
        <f t="shared" ca="1" si="24"/>
        <v/>
      </c>
      <c r="B1539" s="12"/>
      <c r="C1539" s="4"/>
      <c r="D1539" s="11"/>
      <c r="E1539" s="2"/>
    </row>
    <row r="1540" spans="1:5">
      <c r="A1540" s="8" t="str">
        <f t="shared" ca="1" si="24"/>
        <v/>
      </c>
      <c r="B1540" s="12"/>
      <c r="C1540" s="4"/>
      <c r="D1540" s="11"/>
      <c r="E1540" s="2"/>
    </row>
    <row r="1541" spans="1:5">
      <c r="A1541" s="8" t="str">
        <f t="shared" ca="1" si="24"/>
        <v/>
      </c>
      <c r="B1541" s="12"/>
      <c r="C1541" s="4"/>
      <c r="D1541" s="11"/>
      <c r="E1541" s="2"/>
    </row>
    <row r="1542" spans="1:5">
      <c r="A1542" s="8" t="str">
        <f t="shared" ca="1" si="24"/>
        <v/>
      </c>
      <c r="B1542" s="12"/>
      <c r="C1542" s="4"/>
      <c r="D1542" s="11"/>
      <c r="E1542" s="2"/>
    </row>
    <row r="1543" spans="1:5">
      <c r="A1543" s="8" t="str">
        <f t="shared" ca="1" si="24"/>
        <v/>
      </c>
      <c r="B1543" s="12"/>
      <c r="C1543" s="4"/>
      <c r="D1543" s="11"/>
      <c r="E1543" s="2"/>
    </row>
    <row r="1544" spans="1:5">
      <c r="A1544" s="8" t="str">
        <f t="shared" ca="1" si="24"/>
        <v/>
      </c>
      <c r="B1544" s="12"/>
      <c r="C1544" s="4"/>
      <c r="D1544" s="11"/>
      <c r="E1544" s="2"/>
    </row>
    <row r="1545" spans="1:5">
      <c r="A1545" s="8" t="str">
        <f t="shared" ca="1" si="24"/>
        <v/>
      </c>
      <c r="B1545" s="12"/>
      <c r="C1545" s="4"/>
      <c r="D1545" s="11"/>
      <c r="E1545" s="2"/>
    </row>
    <row r="1546" spans="1:5">
      <c r="A1546" s="8" t="str">
        <f t="shared" ref="A1546:A1609" ca="1" si="25">IF(B1546="","",IF(A1546="",TODAY(),A1546))</f>
        <v/>
      </c>
      <c r="B1546" s="12"/>
      <c r="C1546" s="4"/>
      <c r="D1546" s="11"/>
      <c r="E1546" s="2"/>
    </row>
    <row r="1547" spans="1:5">
      <c r="A1547" s="8" t="str">
        <f t="shared" ca="1" si="25"/>
        <v/>
      </c>
      <c r="B1547" s="12"/>
      <c r="C1547" s="4"/>
      <c r="D1547" s="11"/>
      <c r="E1547" s="2"/>
    </row>
    <row r="1548" spans="1:5">
      <c r="A1548" s="8" t="str">
        <f t="shared" ca="1" si="25"/>
        <v/>
      </c>
      <c r="B1548" s="12"/>
      <c r="C1548" s="4"/>
      <c r="D1548" s="11"/>
      <c r="E1548" s="2"/>
    </row>
    <row r="1549" spans="1:5">
      <c r="A1549" s="8" t="str">
        <f t="shared" ca="1" si="25"/>
        <v/>
      </c>
      <c r="B1549" s="12"/>
      <c r="C1549" s="4"/>
      <c r="D1549" s="11"/>
      <c r="E1549" s="2"/>
    </row>
    <row r="1550" spans="1:5">
      <c r="A1550" s="8" t="str">
        <f t="shared" ca="1" si="25"/>
        <v/>
      </c>
      <c r="B1550" s="12"/>
      <c r="C1550" s="4"/>
      <c r="D1550" s="11"/>
      <c r="E1550" s="2"/>
    </row>
    <row r="1551" spans="1:5">
      <c r="A1551" s="8" t="str">
        <f t="shared" ca="1" si="25"/>
        <v/>
      </c>
      <c r="B1551" s="12"/>
      <c r="C1551" s="4"/>
      <c r="D1551" s="11"/>
      <c r="E1551" s="2"/>
    </row>
    <row r="1552" spans="1:5">
      <c r="A1552" s="8" t="str">
        <f t="shared" ca="1" si="25"/>
        <v/>
      </c>
      <c r="B1552" s="12"/>
      <c r="C1552" s="4"/>
      <c r="D1552" s="11"/>
      <c r="E1552" s="2"/>
    </row>
    <row r="1553" spans="1:5">
      <c r="A1553" s="8" t="str">
        <f t="shared" ca="1" si="25"/>
        <v/>
      </c>
      <c r="B1553" s="12"/>
      <c r="C1553" s="4"/>
      <c r="D1553" s="11"/>
      <c r="E1553" s="2"/>
    </row>
    <row r="1554" spans="1:5">
      <c r="A1554" s="8" t="str">
        <f t="shared" ca="1" si="25"/>
        <v/>
      </c>
      <c r="B1554" s="12"/>
      <c r="C1554" s="4"/>
      <c r="D1554" s="11"/>
      <c r="E1554" s="2"/>
    </row>
    <row r="1555" spans="1:5">
      <c r="A1555" s="8" t="str">
        <f t="shared" ca="1" si="25"/>
        <v/>
      </c>
      <c r="B1555" s="12"/>
      <c r="C1555" s="4"/>
      <c r="D1555" s="11"/>
      <c r="E1555" s="2"/>
    </row>
    <row r="1556" spans="1:5">
      <c r="A1556" s="8" t="str">
        <f t="shared" ca="1" si="25"/>
        <v/>
      </c>
      <c r="B1556" s="12"/>
      <c r="C1556" s="4"/>
      <c r="D1556" s="11"/>
      <c r="E1556" s="2"/>
    </row>
    <row r="1557" spans="1:5">
      <c r="A1557" s="8" t="str">
        <f t="shared" ca="1" si="25"/>
        <v/>
      </c>
      <c r="B1557" s="12"/>
      <c r="C1557" s="4"/>
      <c r="D1557" s="11"/>
      <c r="E1557" s="2"/>
    </row>
    <row r="1558" spans="1:5">
      <c r="A1558" s="8" t="str">
        <f t="shared" ca="1" si="25"/>
        <v/>
      </c>
      <c r="B1558" s="12"/>
      <c r="C1558" s="4"/>
      <c r="D1558" s="11"/>
      <c r="E1558" s="2"/>
    </row>
    <row r="1559" spans="1:5">
      <c r="A1559" s="8" t="str">
        <f t="shared" ca="1" si="25"/>
        <v/>
      </c>
      <c r="B1559" s="12"/>
      <c r="C1559" s="4"/>
      <c r="D1559" s="11"/>
      <c r="E1559" s="2"/>
    </row>
    <row r="1560" spans="1:5">
      <c r="A1560" s="8" t="str">
        <f t="shared" ca="1" si="25"/>
        <v/>
      </c>
      <c r="B1560" s="12"/>
      <c r="C1560" s="4"/>
      <c r="D1560" s="11"/>
      <c r="E1560" s="2"/>
    </row>
    <row r="1561" spans="1:5">
      <c r="A1561" s="8" t="str">
        <f t="shared" ca="1" si="25"/>
        <v/>
      </c>
      <c r="B1561" s="12"/>
      <c r="C1561" s="4"/>
      <c r="D1561" s="11"/>
      <c r="E1561" s="2"/>
    </row>
    <row r="1562" spans="1:5">
      <c r="A1562" s="8" t="str">
        <f t="shared" ca="1" si="25"/>
        <v/>
      </c>
      <c r="B1562" s="12"/>
      <c r="C1562" s="4"/>
      <c r="D1562" s="11"/>
      <c r="E1562" s="2"/>
    </row>
    <row r="1563" spans="1:5">
      <c r="A1563" s="8" t="str">
        <f t="shared" ca="1" si="25"/>
        <v/>
      </c>
      <c r="B1563" s="12"/>
      <c r="C1563" s="4"/>
      <c r="D1563" s="11"/>
      <c r="E1563" s="2"/>
    </row>
    <row r="1564" spans="1:5">
      <c r="A1564" s="8" t="str">
        <f t="shared" ca="1" si="25"/>
        <v/>
      </c>
      <c r="B1564" s="12"/>
      <c r="C1564" s="4"/>
      <c r="D1564" s="11"/>
      <c r="E1564" s="2"/>
    </row>
    <row r="1565" spans="1:5">
      <c r="A1565" s="8" t="str">
        <f t="shared" ca="1" si="25"/>
        <v/>
      </c>
      <c r="B1565" s="12"/>
      <c r="C1565" s="4"/>
      <c r="D1565" s="11"/>
      <c r="E1565" s="2"/>
    </row>
    <row r="1566" spans="1:5">
      <c r="A1566" s="8" t="str">
        <f t="shared" ca="1" si="25"/>
        <v/>
      </c>
      <c r="B1566" s="12"/>
      <c r="C1566" s="4"/>
      <c r="D1566" s="11"/>
      <c r="E1566" s="2"/>
    </row>
    <row r="1567" spans="1:5">
      <c r="A1567" s="8" t="str">
        <f t="shared" ca="1" si="25"/>
        <v/>
      </c>
      <c r="B1567" s="12"/>
      <c r="C1567" s="4"/>
      <c r="D1567" s="11"/>
      <c r="E1567" s="2"/>
    </row>
    <row r="1568" spans="1:5">
      <c r="A1568" s="8" t="str">
        <f t="shared" ca="1" si="25"/>
        <v/>
      </c>
      <c r="B1568" s="12"/>
      <c r="C1568" s="4"/>
      <c r="D1568" s="11"/>
      <c r="E1568" s="2"/>
    </row>
    <row r="1569" spans="1:5">
      <c r="A1569" s="8" t="str">
        <f t="shared" ca="1" si="25"/>
        <v/>
      </c>
      <c r="B1569" s="12"/>
      <c r="C1569" s="4"/>
      <c r="D1569" s="11"/>
      <c r="E1569" s="2"/>
    </row>
    <row r="1570" spans="1:5">
      <c r="A1570" s="8" t="str">
        <f t="shared" ca="1" si="25"/>
        <v/>
      </c>
      <c r="B1570" s="12"/>
      <c r="C1570" s="4"/>
      <c r="D1570" s="11"/>
      <c r="E1570" s="2"/>
    </row>
    <row r="1571" spans="1:5">
      <c r="A1571" s="8" t="str">
        <f t="shared" ca="1" si="25"/>
        <v/>
      </c>
      <c r="B1571" s="12"/>
      <c r="C1571" s="4"/>
      <c r="D1571" s="11"/>
      <c r="E1571" s="2"/>
    </row>
    <row r="1572" spans="1:5">
      <c r="A1572" s="8" t="str">
        <f t="shared" ca="1" si="25"/>
        <v/>
      </c>
      <c r="B1572" s="12"/>
      <c r="C1572" s="4"/>
      <c r="D1572" s="11"/>
      <c r="E1572" s="2"/>
    </row>
    <row r="1573" spans="1:5">
      <c r="A1573" s="8" t="str">
        <f t="shared" ca="1" si="25"/>
        <v/>
      </c>
      <c r="B1573" s="12"/>
      <c r="C1573" s="4"/>
      <c r="D1573" s="11"/>
      <c r="E1573" s="2"/>
    </row>
    <row r="1574" spans="1:5">
      <c r="A1574" s="8" t="str">
        <f t="shared" ca="1" si="25"/>
        <v/>
      </c>
      <c r="B1574" s="12"/>
      <c r="C1574" s="4"/>
      <c r="D1574" s="11"/>
      <c r="E1574" s="2"/>
    </row>
    <row r="1575" spans="1:5">
      <c r="A1575" s="8" t="str">
        <f t="shared" ca="1" si="25"/>
        <v/>
      </c>
      <c r="B1575" s="12"/>
      <c r="C1575" s="4"/>
      <c r="D1575" s="11"/>
      <c r="E1575" s="2"/>
    </row>
    <row r="1576" spans="1:5">
      <c r="A1576" s="8" t="str">
        <f t="shared" ca="1" si="25"/>
        <v/>
      </c>
      <c r="B1576" s="12"/>
      <c r="C1576" s="4"/>
      <c r="D1576" s="11"/>
      <c r="E1576" s="2"/>
    </row>
    <row r="1577" spans="1:5">
      <c r="A1577" s="8" t="str">
        <f t="shared" ca="1" si="25"/>
        <v/>
      </c>
      <c r="B1577" s="12"/>
      <c r="C1577" s="4"/>
      <c r="D1577" s="11"/>
      <c r="E1577" s="2"/>
    </row>
    <row r="1578" spans="1:5">
      <c r="A1578" s="8" t="str">
        <f t="shared" ca="1" si="25"/>
        <v/>
      </c>
      <c r="B1578" s="12"/>
      <c r="C1578" s="4"/>
      <c r="D1578" s="11"/>
      <c r="E1578" s="2"/>
    </row>
    <row r="1579" spans="1:5">
      <c r="A1579" s="8" t="str">
        <f t="shared" ca="1" si="25"/>
        <v/>
      </c>
      <c r="B1579" s="12"/>
      <c r="C1579" s="4"/>
      <c r="D1579" s="11"/>
      <c r="E1579" s="2"/>
    </row>
    <row r="1580" spans="1:5">
      <c r="A1580" s="8" t="str">
        <f t="shared" ca="1" si="25"/>
        <v/>
      </c>
      <c r="B1580" s="12"/>
      <c r="C1580" s="4"/>
      <c r="D1580" s="11"/>
      <c r="E1580" s="2"/>
    </row>
    <row r="1581" spans="1:5">
      <c r="A1581" s="8" t="str">
        <f t="shared" ca="1" si="25"/>
        <v/>
      </c>
      <c r="B1581" s="12"/>
      <c r="C1581" s="4"/>
      <c r="D1581" s="11"/>
      <c r="E1581" s="2"/>
    </row>
    <row r="1582" spans="1:5">
      <c r="A1582" s="8" t="str">
        <f t="shared" ca="1" si="25"/>
        <v/>
      </c>
      <c r="B1582" s="12"/>
      <c r="C1582" s="4"/>
      <c r="D1582" s="11"/>
      <c r="E1582" s="2"/>
    </row>
    <row r="1583" spans="1:5">
      <c r="A1583" s="8" t="str">
        <f t="shared" ca="1" si="25"/>
        <v/>
      </c>
      <c r="B1583" s="12"/>
      <c r="C1583" s="4"/>
      <c r="D1583" s="11"/>
      <c r="E1583" s="2"/>
    </row>
    <row r="1584" spans="1:5">
      <c r="A1584" s="8" t="str">
        <f t="shared" ca="1" si="25"/>
        <v/>
      </c>
      <c r="B1584" s="12"/>
      <c r="C1584" s="4"/>
      <c r="D1584" s="11"/>
      <c r="E1584" s="2"/>
    </row>
    <row r="1585" spans="1:5">
      <c r="A1585" s="8" t="str">
        <f t="shared" ca="1" si="25"/>
        <v/>
      </c>
      <c r="B1585" s="12"/>
      <c r="C1585" s="4"/>
      <c r="D1585" s="11"/>
      <c r="E1585" s="2"/>
    </row>
    <row r="1586" spans="1:5">
      <c r="A1586" s="8" t="str">
        <f t="shared" ca="1" si="25"/>
        <v/>
      </c>
      <c r="B1586" s="12"/>
      <c r="C1586" s="4"/>
      <c r="D1586" s="11"/>
      <c r="E1586" s="2"/>
    </row>
    <row r="1587" spans="1:5">
      <c r="A1587" s="8" t="str">
        <f t="shared" ca="1" si="25"/>
        <v/>
      </c>
      <c r="B1587" s="12"/>
      <c r="C1587" s="4"/>
      <c r="D1587" s="11"/>
      <c r="E1587" s="2"/>
    </row>
    <row r="1588" spans="1:5">
      <c r="A1588" s="8" t="str">
        <f t="shared" ca="1" si="25"/>
        <v/>
      </c>
      <c r="B1588" s="12"/>
      <c r="C1588" s="4"/>
      <c r="D1588" s="11"/>
      <c r="E1588" s="2"/>
    </row>
    <row r="1589" spans="1:5">
      <c r="A1589" s="8" t="str">
        <f t="shared" ca="1" si="25"/>
        <v/>
      </c>
      <c r="B1589" s="12"/>
      <c r="C1589" s="4"/>
      <c r="D1589" s="11"/>
      <c r="E1589" s="2"/>
    </row>
    <row r="1590" spans="1:5">
      <c r="A1590" s="8" t="str">
        <f t="shared" ca="1" si="25"/>
        <v/>
      </c>
      <c r="B1590" s="12"/>
      <c r="C1590" s="4"/>
      <c r="D1590" s="11"/>
      <c r="E1590" s="2"/>
    </row>
    <row r="1591" spans="1:5">
      <c r="A1591" s="8" t="str">
        <f t="shared" ca="1" si="25"/>
        <v/>
      </c>
      <c r="B1591" s="12"/>
      <c r="C1591" s="4"/>
      <c r="D1591" s="11"/>
      <c r="E1591" s="2"/>
    </row>
    <row r="1592" spans="1:5">
      <c r="A1592" s="8" t="str">
        <f t="shared" ca="1" si="25"/>
        <v/>
      </c>
      <c r="B1592" s="12"/>
      <c r="C1592" s="4"/>
      <c r="D1592" s="11"/>
      <c r="E1592" s="2"/>
    </row>
    <row r="1593" spans="1:5">
      <c r="A1593" s="8" t="str">
        <f t="shared" ca="1" si="25"/>
        <v/>
      </c>
      <c r="B1593" s="12"/>
      <c r="C1593" s="4"/>
      <c r="D1593" s="11"/>
      <c r="E1593" s="2"/>
    </row>
    <row r="1594" spans="1:5">
      <c r="A1594" s="8" t="str">
        <f t="shared" ca="1" si="25"/>
        <v/>
      </c>
      <c r="B1594" s="12"/>
      <c r="C1594" s="4"/>
      <c r="D1594" s="11"/>
      <c r="E1594" s="2"/>
    </row>
    <row r="1595" spans="1:5">
      <c r="A1595" s="8" t="str">
        <f t="shared" ca="1" si="25"/>
        <v/>
      </c>
      <c r="B1595" s="12"/>
      <c r="C1595" s="4"/>
      <c r="D1595" s="11"/>
      <c r="E1595" s="2"/>
    </row>
    <row r="1596" spans="1:5">
      <c r="A1596" s="8" t="str">
        <f t="shared" ca="1" si="25"/>
        <v/>
      </c>
      <c r="B1596" s="12"/>
      <c r="C1596" s="4"/>
      <c r="D1596" s="11"/>
      <c r="E1596" s="2"/>
    </row>
    <row r="1597" spans="1:5">
      <c r="A1597" s="8" t="str">
        <f t="shared" ca="1" si="25"/>
        <v/>
      </c>
      <c r="B1597" s="12"/>
      <c r="C1597" s="4"/>
      <c r="D1597" s="11"/>
      <c r="E1597" s="2"/>
    </row>
    <row r="1598" spans="1:5">
      <c r="A1598" s="8" t="str">
        <f t="shared" ca="1" si="25"/>
        <v/>
      </c>
      <c r="B1598" s="12"/>
      <c r="C1598" s="4"/>
      <c r="D1598" s="11"/>
      <c r="E1598" s="2"/>
    </row>
    <row r="1599" spans="1:5">
      <c r="A1599" s="8" t="str">
        <f t="shared" ca="1" si="25"/>
        <v/>
      </c>
      <c r="B1599" s="12"/>
      <c r="C1599" s="4"/>
      <c r="D1599" s="11"/>
      <c r="E1599" s="2"/>
    </row>
    <row r="1600" spans="1:5">
      <c r="A1600" s="8" t="str">
        <f t="shared" ca="1" si="25"/>
        <v/>
      </c>
      <c r="B1600" s="12"/>
      <c r="C1600" s="4"/>
      <c r="D1600" s="11"/>
      <c r="E1600" s="2"/>
    </row>
    <row r="1601" spans="1:5">
      <c r="A1601" s="8" t="str">
        <f t="shared" ca="1" si="25"/>
        <v/>
      </c>
      <c r="B1601" s="12"/>
      <c r="C1601" s="4"/>
      <c r="D1601" s="11"/>
      <c r="E1601" s="2"/>
    </row>
    <row r="1602" spans="1:5">
      <c r="A1602" s="8" t="str">
        <f t="shared" ca="1" si="25"/>
        <v/>
      </c>
      <c r="B1602" s="12"/>
      <c r="C1602" s="4"/>
      <c r="D1602" s="11"/>
      <c r="E1602" s="2"/>
    </row>
    <row r="1603" spans="1:5">
      <c r="A1603" s="8" t="str">
        <f t="shared" ca="1" si="25"/>
        <v/>
      </c>
      <c r="B1603" s="12"/>
      <c r="C1603" s="4"/>
      <c r="D1603" s="11"/>
      <c r="E1603" s="2"/>
    </row>
    <row r="1604" spans="1:5">
      <c r="A1604" s="8" t="str">
        <f t="shared" ca="1" si="25"/>
        <v/>
      </c>
      <c r="B1604" s="12"/>
      <c r="C1604" s="4"/>
      <c r="D1604" s="11"/>
      <c r="E1604" s="2"/>
    </row>
    <row r="1605" spans="1:5">
      <c r="A1605" s="8" t="str">
        <f t="shared" ca="1" si="25"/>
        <v/>
      </c>
      <c r="B1605" s="12"/>
      <c r="C1605" s="4"/>
      <c r="D1605" s="11"/>
      <c r="E1605" s="2"/>
    </row>
    <row r="1606" spans="1:5">
      <c r="A1606" s="8" t="str">
        <f t="shared" ca="1" si="25"/>
        <v/>
      </c>
      <c r="B1606" s="12"/>
      <c r="C1606" s="4"/>
      <c r="D1606" s="11"/>
      <c r="E1606" s="2"/>
    </row>
    <row r="1607" spans="1:5">
      <c r="A1607" s="8" t="str">
        <f t="shared" ca="1" si="25"/>
        <v/>
      </c>
      <c r="B1607" s="12"/>
      <c r="C1607" s="4"/>
      <c r="D1607" s="11"/>
      <c r="E1607" s="2"/>
    </row>
    <row r="1608" spans="1:5">
      <c r="A1608" s="8" t="str">
        <f t="shared" ca="1" si="25"/>
        <v/>
      </c>
      <c r="B1608" s="12"/>
      <c r="C1608" s="4"/>
      <c r="D1608" s="11"/>
      <c r="E1608" s="2"/>
    </row>
    <row r="1609" spans="1:5">
      <c r="A1609" s="8" t="str">
        <f t="shared" ca="1" si="25"/>
        <v/>
      </c>
      <c r="B1609" s="12"/>
      <c r="C1609" s="4"/>
      <c r="D1609" s="11"/>
      <c r="E1609" s="2"/>
    </row>
    <row r="1610" spans="1:5">
      <c r="A1610" s="8" t="str">
        <f t="shared" ref="A1610:A1673" ca="1" si="26">IF(B1610="","",IF(A1610="",TODAY(),A1610))</f>
        <v/>
      </c>
      <c r="B1610" s="12"/>
      <c r="C1610" s="4"/>
      <c r="D1610" s="11"/>
      <c r="E1610" s="2"/>
    </row>
    <row r="1611" spans="1:5">
      <c r="A1611" s="8" t="str">
        <f t="shared" ca="1" si="26"/>
        <v/>
      </c>
      <c r="B1611" s="12"/>
      <c r="C1611" s="4"/>
      <c r="D1611" s="11"/>
      <c r="E1611" s="2"/>
    </row>
    <row r="1612" spans="1:5">
      <c r="A1612" s="8" t="str">
        <f t="shared" ca="1" si="26"/>
        <v/>
      </c>
      <c r="B1612" s="12"/>
      <c r="C1612" s="4"/>
      <c r="D1612" s="11"/>
      <c r="E1612" s="2"/>
    </row>
    <row r="1613" spans="1:5">
      <c r="A1613" s="8" t="str">
        <f t="shared" ca="1" si="26"/>
        <v/>
      </c>
      <c r="B1613" s="12"/>
      <c r="C1613" s="4"/>
      <c r="D1613" s="11"/>
      <c r="E1613" s="2"/>
    </row>
    <row r="1614" spans="1:5">
      <c r="A1614" s="8" t="str">
        <f t="shared" ca="1" si="26"/>
        <v/>
      </c>
      <c r="B1614" s="12"/>
      <c r="C1614" s="4"/>
      <c r="D1614" s="11"/>
      <c r="E1614" s="2"/>
    </row>
    <row r="1615" spans="1:5">
      <c r="A1615" s="8" t="str">
        <f t="shared" ca="1" si="26"/>
        <v/>
      </c>
      <c r="B1615" s="12"/>
      <c r="C1615" s="4"/>
      <c r="D1615" s="11"/>
      <c r="E1615" s="2"/>
    </row>
    <row r="1616" spans="1:5">
      <c r="A1616" s="8" t="str">
        <f t="shared" ca="1" si="26"/>
        <v/>
      </c>
      <c r="B1616" s="12"/>
      <c r="C1616" s="4"/>
      <c r="D1616" s="11"/>
      <c r="E1616" s="2"/>
    </row>
    <row r="1617" spans="1:5">
      <c r="A1617" s="8" t="str">
        <f t="shared" ca="1" si="26"/>
        <v/>
      </c>
      <c r="B1617" s="12"/>
      <c r="C1617" s="4"/>
      <c r="D1617" s="11"/>
      <c r="E1617" s="2"/>
    </row>
    <row r="1618" spans="1:5">
      <c r="A1618" s="8" t="str">
        <f t="shared" ca="1" si="26"/>
        <v/>
      </c>
      <c r="B1618" s="12"/>
      <c r="C1618" s="4"/>
      <c r="D1618" s="11"/>
      <c r="E1618" s="2"/>
    </row>
    <row r="1619" spans="1:5">
      <c r="A1619" s="8" t="str">
        <f t="shared" ca="1" si="26"/>
        <v/>
      </c>
      <c r="B1619" s="12"/>
      <c r="C1619" s="4"/>
      <c r="D1619" s="11"/>
      <c r="E1619" s="2"/>
    </row>
    <row r="1620" spans="1:5">
      <c r="A1620" s="8" t="str">
        <f t="shared" ca="1" si="26"/>
        <v/>
      </c>
      <c r="B1620" s="12"/>
      <c r="C1620" s="4"/>
      <c r="D1620" s="11"/>
      <c r="E1620" s="2"/>
    </row>
    <row r="1621" spans="1:5">
      <c r="A1621" s="8" t="str">
        <f t="shared" ca="1" si="26"/>
        <v/>
      </c>
      <c r="B1621" s="12"/>
      <c r="C1621" s="4"/>
      <c r="D1621" s="11"/>
      <c r="E1621" s="2"/>
    </row>
    <row r="1622" spans="1:5">
      <c r="A1622" s="8" t="str">
        <f t="shared" ca="1" si="26"/>
        <v/>
      </c>
      <c r="B1622" s="12"/>
      <c r="C1622" s="4"/>
      <c r="D1622" s="11"/>
      <c r="E1622" s="2"/>
    </row>
    <row r="1623" spans="1:5">
      <c r="A1623" s="8" t="str">
        <f t="shared" ca="1" si="26"/>
        <v/>
      </c>
      <c r="B1623" s="12"/>
      <c r="C1623" s="4"/>
      <c r="D1623" s="11"/>
      <c r="E1623" s="2"/>
    </row>
    <row r="1624" spans="1:5">
      <c r="A1624" s="8" t="str">
        <f t="shared" ca="1" si="26"/>
        <v/>
      </c>
      <c r="B1624" s="12"/>
      <c r="C1624" s="4"/>
      <c r="D1624" s="11"/>
      <c r="E1624" s="2"/>
    </row>
    <row r="1625" spans="1:5">
      <c r="A1625" s="8" t="str">
        <f t="shared" ca="1" si="26"/>
        <v/>
      </c>
      <c r="B1625" s="12"/>
      <c r="C1625" s="4"/>
      <c r="D1625" s="11"/>
      <c r="E1625" s="2"/>
    </row>
    <row r="1626" spans="1:5">
      <c r="A1626" s="8" t="str">
        <f t="shared" ca="1" si="26"/>
        <v/>
      </c>
      <c r="B1626" s="12"/>
      <c r="C1626" s="4"/>
      <c r="D1626" s="11"/>
      <c r="E1626" s="2"/>
    </row>
    <row r="1627" spans="1:5">
      <c r="A1627" s="8" t="str">
        <f t="shared" ca="1" si="26"/>
        <v/>
      </c>
      <c r="B1627" s="12"/>
      <c r="C1627" s="4"/>
      <c r="D1627" s="11"/>
      <c r="E1627" s="2"/>
    </row>
    <row r="1628" spans="1:5">
      <c r="A1628" s="8" t="str">
        <f t="shared" ca="1" si="26"/>
        <v/>
      </c>
      <c r="B1628" s="12"/>
      <c r="C1628" s="4"/>
      <c r="D1628" s="11"/>
      <c r="E1628" s="2"/>
    </row>
    <row r="1629" spans="1:5">
      <c r="A1629" s="8" t="str">
        <f t="shared" ca="1" si="26"/>
        <v/>
      </c>
      <c r="B1629" s="12"/>
      <c r="C1629" s="4"/>
      <c r="D1629" s="11"/>
      <c r="E1629" s="2"/>
    </row>
    <row r="1630" spans="1:5">
      <c r="A1630" s="8" t="str">
        <f t="shared" ca="1" si="26"/>
        <v/>
      </c>
      <c r="B1630" s="12"/>
      <c r="C1630" s="4"/>
      <c r="D1630" s="11"/>
      <c r="E1630" s="2"/>
    </row>
    <row r="1631" spans="1:5">
      <c r="A1631" s="8" t="str">
        <f t="shared" ca="1" si="26"/>
        <v/>
      </c>
      <c r="B1631" s="12"/>
      <c r="C1631" s="4"/>
      <c r="D1631" s="11"/>
      <c r="E1631" s="2"/>
    </row>
    <row r="1632" spans="1:5">
      <c r="A1632" s="8" t="str">
        <f t="shared" ca="1" si="26"/>
        <v/>
      </c>
      <c r="B1632" s="12"/>
      <c r="C1632" s="4"/>
      <c r="D1632" s="11"/>
      <c r="E1632" s="2"/>
    </row>
    <row r="1633" spans="1:5">
      <c r="A1633" s="8" t="str">
        <f t="shared" ca="1" si="26"/>
        <v/>
      </c>
      <c r="B1633" s="12"/>
      <c r="C1633" s="4"/>
      <c r="D1633" s="11"/>
      <c r="E1633" s="2"/>
    </row>
    <row r="1634" spans="1:5">
      <c r="A1634" s="8" t="str">
        <f t="shared" ca="1" si="26"/>
        <v/>
      </c>
      <c r="B1634" s="12"/>
      <c r="C1634" s="4"/>
      <c r="D1634" s="11"/>
      <c r="E1634" s="2"/>
    </row>
    <row r="1635" spans="1:5">
      <c r="A1635" s="8" t="str">
        <f t="shared" ca="1" si="26"/>
        <v/>
      </c>
      <c r="B1635" s="12"/>
      <c r="C1635" s="4"/>
      <c r="D1635" s="11"/>
      <c r="E1635" s="2"/>
    </row>
    <row r="1636" spans="1:5">
      <c r="A1636" s="8" t="str">
        <f t="shared" ca="1" si="26"/>
        <v/>
      </c>
      <c r="B1636" s="12"/>
      <c r="C1636" s="4"/>
      <c r="D1636" s="11"/>
      <c r="E1636" s="2"/>
    </row>
    <row r="1637" spans="1:5">
      <c r="A1637" s="8" t="str">
        <f t="shared" ca="1" si="26"/>
        <v/>
      </c>
      <c r="B1637" s="12"/>
      <c r="C1637" s="4"/>
      <c r="D1637" s="11"/>
      <c r="E1637" s="2"/>
    </row>
    <row r="1638" spans="1:5">
      <c r="A1638" s="8" t="str">
        <f t="shared" ca="1" si="26"/>
        <v/>
      </c>
      <c r="B1638" s="12"/>
      <c r="C1638" s="4"/>
      <c r="D1638" s="11"/>
      <c r="E1638" s="2"/>
    </row>
    <row r="1639" spans="1:5">
      <c r="A1639" s="8" t="str">
        <f t="shared" ca="1" si="26"/>
        <v/>
      </c>
      <c r="B1639" s="12"/>
      <c r="C1639" s="4"/>
      <c r="D1639" s="11"/>
      <c r="E1639" s="2"/>
    </row>
    <row r="1640" spans="1:5">
      <c r="A1640" s="8" t="str">
        <f t="shared" ca="1" si="26"/>
        <v/>
      </c>
      <c r="B1640" s="12"/>
      <c r="C1640" s="4"/>
      <c r="D1640" s="11"/>
      <c r="E1640" s="2"/>
    </row>
    <row r="1641" spans="1:5">
      <c r="A1641" s="8" t="str">
        <f t="shared" ca="1" si="26"/>
        <v/>
      </c>
      <c r="B1641" s="12"/>
      <c r="C1641" s="4"/>
      <c r="D1641" s="11"/>
      <c r="E1641" s="2"/>
    </row>
    <row r="1642" spans="1:5">
      <c r="A1642" s="8" t="str">
        <f t="shared" ca="1" si="26"/>
        <v/>
      </c>
      <c r="B1642" s="12"/>
      <c r="C1642" s="4"/>
      <c r="D1642" s="11"/>
      <c r="E1642" s="2"/>
    </row>
    <row r="1643" spans="1:5">
      <c r="A1643" s="8" t="str">
        <f t="shared" ca="1" si="26"/>
        <v/>
      </c>
      <c r="B1643" s="12"/>
      <c r="C1643" s="4"/>
      <c r="D1643" s="11"/>
      <c r="E1643" s="2"/>
    </row>
    <row r="1644" spans="1:5">
      <c r="A1644" s="8" t="str">
        <f t="shared" ca="1" si="26"/>
        <v/>
      </c>
      <c r="B1644" s="12"/>
      <c r="C1644" s="4"/>
      <c r="D1644" s="11"/>
      <c r="E1644" s="2"/>
    </row>
    <row r="1645" spans="1:5">
      <c r="A1645" s="8" t="str">
        <f t="shared" ca="1" si="26"/>
        <v/>
      </c>
      <c r="B1645" s="12"/>
      <c r="C1645" s="4"/>
      <c r="D1645" s="11"/>
      <c r="E1645" s="2"/>
    </row>
    <row r="1646" spans="1:5">
      <c r="A1646" s="8" t="str">
        <f t="shared" ca="1" si="26"/>
        <v/>
      </c>
      <c r="B1646" s="12"/>
      <c r="C1646" s="4"/>
      <c r="D1646" s="11"/>
      <c r="E1646" s="2"/>
    </row>
    <row r="1647" spans="1:5">
      <c r="A1647" s="8" t="str">
        <f t="shared" ca="1" si="26"/>
        <v/>
      </c>
      <c r="B1647" s="12"/>
      <c r="C1647" s="4"/>
      <c r="D1647" s="11"/>
      <c r="E1647" s="2"/>
    </row>
    <row r="1648" spans="1:5">
      <c r="A1648" s="8" t="str">
        <f t="shared" ca="1" si="26"/>
        <v/>
      </c>
      <c r="B1648" s="12"/>
      <c r="C1648" s="4"/>
      <c r="D1648" s="11"/>
      <c r="E1648" s="2"/>
    </row>
    <row r="1649" spans="1:5">
      <c r="A1649" s="8" t="str">
        <f t="shared" ca="1" si="26"/>
        <v/>
      </c>
      <c r="B1649" s="12"/>
      <c r="C1649" s="4"/>
      <c r="D1649" s="11"/>
      <c r="E1649" s="2"/>
    </row>
    <row r="1650" spans="1:5">
      <c r="A1650" s="8" t="str">
        <f t="shared" ca="1" si="26"/>
        <v/>
      </c>
      <c r="B1650" s="12"/>
      <c r="C1650" s="4"/>
      <c r="D1650" s="11"/>
      <c r="E1650" s="2"/>
    </row>
    <row r="1651" spans="1:5">
      <c r="A1651" s="8" t="str">
        <f t="shared" ca="1" si="26"/>
        <v/>
      </c>
      <c r="B1651" s="12"/>
      <c r="C1651" s="4"/>
      <c r="D1651" s="11"/>
      <c r="E1651" s="2"/>
    </row>
    <row r="1652" spans="1:5">
      <c r="A1652" s="8" t="str">
        <f t="shared" ca="1" si="26"/>
        <v/>
      </c>
      <c r="B1652" s="12"/>
      <c r="C1652" s="4"/>
      <c r="D1652" s="11"/>
      <c r="E1652" s="2"/>
    </row>
    <row r="1653" spans="1:5">
      <c r="A1653" s="8" t="str">
        <f t="shared" ca="1" si="26"/>
        <v/>
      </c>
      <c r="B1653" s="12"/>
      <c r="C1653" s="4"/>
      <c r="D1653" s="11"/>
      <c r="E1653" s="2"/>
    </row>
    <row r="1654" spans="1:5">
      <c r="A1654" s="8" t="str">
        <f t="shared" ca="1" si="26"/>
        <v/>
      </c>
      <c r="B1654" s="12"/>
      <c r="C1654" s="4"/>
      <c r="D1654" s="11"/>
      <c r="E1654" s="2"/>
    </row>
    <row r="1655" spans="1:5">
      <c r="A1655" s="8" t="str">
        <f t="shared" ca="1" si="26"/>
        <v/>
      </c>
      <c r="B1655" s="12"/>
      <c r="C1655" s="4"/>
      <c r="D1655" s="11"/>
      <c r="E1655" s="2"/>
    </row>
    <row r="1656" spans="1:5">
      <c r="A1656" s="8" t="str">
        <f t="shared" ca="1" si="26"/>
        <v/>
      </c>
      <c r="B1656" s="12"/>
      <c r="C1656" s="4"/>
      <c r="D1656" s="11"/>
      <c r="E1656" s="2"/>
    </row>
    <row r="1657" spans="1:5">
      <c r="A1657" s="8" t="str">
        <f t="shared" ca="1" si="26"/>
        <v/>
      </c>
      <c r="B1657" s="12"/>
      <c r="C1657" s="4"/>
      <c r="D1657" s="11"/>
      <c r="E1657" s="2"/>
    </row>
    <row r="1658" spans="1:5">
      <c r="A1658" s="8" t="str">
        <f t="shared" ca="1" si="26"/>
        <v/>
      </c>
      <c r="B1658" s="12"/>
      <c r="C1658" s="4"/>
      <c r="D1658" s="11"/>
      <c r="E1658" s="2"/>
    </row>
    <row r="1659" spans="1:5">
      <c r="A1659" s="8" t="str">
        <f t="shared" ca="1" si="26"/>
        <v/>
      </c>
      <c r="B1659" s="12"/>
      <c r="C1659" s="4"/>
      <c r="D1659" s="11"/>
      <c r="E1659" s="2"/>
    </row>
    <row r="1660" spans="1:5">
      <c r="A1660" s="8" t="str">
        <f t="shared" ca="1" si="26"/>
        <v/>
      </c>
      <c r="B1660" s="12"/>
      <c r="C1660" s="4"/>
      <c r="D1660" s="11"/>
      <c r="E1660" s="2"/>
    </row>
    <row r="1661" spans="1:5">
      <c r="A1661" s="8" t="str">
        <f t="shared" ca="1" si="26"/>
        <v/>
      </c>
      <c r="B1661" s="12"/>
      <c r="C1661" s="4"/>
      <c r="D1661" s="11"/>
      <c r="E1661" s="2"/>
    </row>
    <row r="1662" spans="1:5">
      <c r="A1662" s="8" t="str">
        <f t="shared" ca="1" si="26"/>
        <v/>
      </c>
      <c r="B1662" s="12"/>
      <c r="C1662" s="4"/>
      <c r="D1662" s="11"/>
      <c r="E1662" s="2"/>
    </row>
    <row r="1663" spans="1:5">
      <c r="A1663" s="8" t="str">
        <f t="shared" ca="1" si="26"/>
        <v/>
      </c>
      <c r="B1663" s="12"/>
      <c r="C1663" s="4"/>
      <c r="D1663" s="11"/>
      <c r="E1663" s="2"/>
    </row>
    <row r="1664" spans="1:5">
      <c r="A1664" s="8" t="str">
        <f t="shared" ca="1" si="26"/>
        <v/>
      </c>
      <c r="B1664" s="12"/>
      <c r="C1664" s="4"/>
      <c r="D1664" s="11"/>
      <c r="E1664" s="2"/>
    </row>
    <row r="1665" spans="1:5">
      <c r="A1665" s="8" t="str">
        <f t="shared" ca="1" si="26"/>
        <v/>
      </c>
      <c r="B1665" s="12"/>
      <c r="C1665" s="4"/>
      <c r="D1665" s="11"/>
      <c r="E1665" s="2"/>
    </row>
    <row r="1666" spans="1:5">
      <c r="A1666" s="8" t="str">
        <f t="shared" ca="1" si="26"/>
        <v/>
      </c>
      <c r="B1666" s="12"/>
      <c r="C1666" s="4"/>
      <c r="D1666" s="11"/>
      <c r="E1666" s="2"/>
    </row>
    <row r="1667" spans="1:5">
      <c r="A1667" s="8" t="str">
        <f t="shared" ca="1" si="26"/>
        <v/>
      </c>
      <c r="B1667" s="12"/>
      <c r="C1667" s="4"/>
      <c r="D1667" s="11"/>
      <c r="E1667" s="2"/>
    </row>
    <row r="1668" spans="1:5">
      <c r="A1668" s="8" t="str">
        <f t="shared" ca="1" si="26"/>
        <v/>
      </c>
      <c r="B1668" s="12"/>
      <c r="C1668" s="4"/>
      <c r="D1668" s="11"/>
      <c r="E1668" s="2"/>
    </row>
    <row r="1669" spans="1:5">
      <c r="A1669" s="8" t="str">
        <f t="shared" ca="1" si="26"/>
        <v/>
      </c>
      <c r="B1669" s="12"/>
      <c r="C1669" s="4"/>
      <c r="D1669" s="11"/>
      <c r="E1669" s="2"/>
    </row>
    <row r="1670" spans="1:5">
      <c r="A1670" s="8" t="str">
        <f t="shared" ca="1" si="26"/>
        <v/>
      </c>
      <c r="B1670" s="12"/>
      <c r="C1670" s="4"/>
      <c r="D1670" s="11"/>
      <c r="E1670" s="2"/>
    </row>
    <row r="1671" spans="1:5">
      <c r="A1671" s="8" t="str">
        <f t="shared" ca="1" si="26"/>
        <v/>
      </c>
      <c r="B1671" s="12"/>
      <c r="C1671" s="4"/>
      <c r="D1671" s="11"/>
      <c r="E1671" s="2"/>
    </row>
    <row r="1672" spans="1:5">
      <c r="A1672" s="8" t="str">
        <f t="shared" ca="1" si="26"/>
        <v/>
      </c>
      <c r="B1672" s="12"/>
      <c r="C1672" s="4"/>
      <c r="D1672" s="11"/>
      <c r="E1672" s="2"/>
    </row>
    <row r="1673" spans="1:5">
      <c r="A1673" s="8" t="str">
        <f t="shared" ca="1" si="26"/>
        <v/>
      </c>
      <c r="B1673" s="12"/>
      <c r="C1673" s="4"/>
      <c r="D1673" s="11"/>
      <c r="E1673" s="2"/>
    </row>
    <row r="1674" spans="1:5">
      <c r="A1674" s="8" t="str">
        <f t="shared" ref="A1674:A1737" ca="1" si="27">IF(B1674="","",IF(A1674="",TODAY(),A1674))</f>
        <v/>
      </c>
      <c r="B1674" s="12"/>
      <c r="C1674" s="4"/>
      <c r="D1674" s="11"/>
      <c r="E1674" s="2"/>
    </row>
    <row r="1675" spans="1:5">
      <c r="A1675" s="8" t="str">
        <f t="shared" ca="1" si="27"/>
        <v/>
      </c>
      <c r="B1675" s="12"/>
      <c r="C1675" s="4"/>
      <c r="D1675" s="11"/>
      <c r="E1675" s="2"/>
    </row>
    <row r="1676" spans="1:5">
      <c r="A1676" s="8" t="str">
        <f t="shared" ca="1" si="27"/>
        <v/>
      </c>
      <c r="B1676" s="12"/>
      <c r="C1676" s="4"/>
      <c r="D1676" s="11"/>
      <c r="E1676" s="2"/>
    </row>
    <row r="1677" spans="1:5">
      <c r="A1677" s="8" t="str">
        <f t="shared" ca="1" si="27"/>
        <v/>
      </c>
      <c r="B1677" s="12"/>
      <c r="C1677" s="4"/>
      <c r="D1677" s="11"/>
      <c r="E1677" s="2"/>
    </row>
    <row r="1678" spans="1:5">
      <c r="A1678" s="8" t="str">
        <f t="shared" ca="1" si="27"/>
        <v/>
      </c>
      <c r="B1678" s="12"/>
      <c r="C1678" s="4"/>
      <c r="D1678" s="11"/>
      <c r="E1678" s="2"/>
    </row>
    <row r="1679" spans="1:5">
      <c r="A1679" s="8" t="str">
        <f t="shared" ca="1" si="27"/>
        <v/>
      </c>
      <c r="B1679" s="12"/>
      <c r="C1679" s="4"/>
      <c r="D1679" s="11"/>
      <c r="E1679" s="2"/>
    </row>
    <row r="1680" spans="1:5">
      <c r="A1680" s="8" t="str">
        <f t="shared" ca="1" si="27"/>
        <v/>
      </c>
      <c r="B1680" s="12"/>
      <c r="C1680" s="4"/>
      <c r="D1680" s="11"/>
      <c r="E1680" s="2"/>
    </row>
    <row r="1681" spans="1:5">
      <c r="A1681" s="8" t="str">
        <f t="shared" ca="1" si="27"/>
        <v/>
      </c>
      <c r="B1681" s="12"/>
      <c r="C1681" s="4"/>
      <c r="D1681" s="11"/>
      <c r="E1681" s="2"/>
    </row>
    <row r="1682" spans="1:5">
      <c r="A1682" s="8" t="str">
        <f t="shared" ca="1" si="27"/>
        <v/>
      </c>
      <c r="B1682" s="12"/>
      <c r="C1682" s="4"/>
      <c r="D1682" s="11"/>
      <c r="E1682" s="2"/>
    </row>
    <row r="1683" spans="1:5">
      <c r="A1683" s="8" t="str">
        <f t="shared" ca="1" si="27"/>
        <v/>
      </c>
      <c r="B1683" s="12"/>
      <c r="C1683" s="4"/>
      <c r="D1683" s="11"/>
      <c r="E1683" s="2"/>
    </row>
    <row r="1684" spans="1:5">
      <c r="A1684" s="8" t="str">
        <f t="shared" ca="1" si="27"/>
        <v/>
      </c>
      <c r="B1684" s="12"/>
      <c r="C1684" s="4"/>
      <c r="D1684" s="11"/>
      <c r="E1684" s="2"/>
    </row>
    <row r="1685" spans="1:5">
      <c r="A1685" s="8" t="str">
        <f t="shared" ca="1" si="27"/>
        <v/>
      </c>
      <c r="B1685" s="12"/>
      <c r="C1685" s="4"/>
      <c r="D1685" s="11"/>
      <c r="E1685" s="2"/>
    </row>
    <row r="1686" spans="1:5">
      <c r="A1686" s="8" t="str">
        <f t="shared" ca="1" si="27"/>
        <v/>
      </c>
      <c r="B1686" s="12"/>
      <c r="C1686" s="4"/>
      <c r="D1686" s="11"/>
      <c r="E1686" s="2"/>
    </row>
    <row r="1687" spans="1:5">
      <c r="A1687" s="8" t="str">
        <f t="shared" ca="1" si="27"/>
        <v/>
      </c>
      <c r="B1687" s="12"/>
      <c r="C1687" s="4"/>
      <c r="D1687" s="11"/>
      <c r="E1687" s="2"/>
    </row>
    <row r="1688" spans="1:5">
      <c r="A1688" s="8" t="str">
        <f t="shared" ca="1" si="27"/>
        <v/>
      </c>
      <c r="B1688" s="12"/>
      <c r="C1688" s="4"/>
      <c r="D1688" s="11"/>
      <c r="E1688" s="2"/>
    </row>
    <row r="1689" spans="1:5">
      <c r="A1689" s="8" t="str">
        <f t="shared" ca="1" si="27"/>
        <v/>
      </c>
      <c r="B1689" s="12"/>
      <c r="C1689" s="4"/>
      <c r="D1689" s="11"/>
      <c r="E1689" s="2"/>
    </row>
    <row r="1690" spans="1:5">
      <c r="A1690" s="8" t="str">
        <f t="shared" ca="1" si="27"/>
        <v/>
      </c>
      <c r="B1690" s="12"/>
      <c r="C1690" s="4"/>
      <c r="D1690" s="11"/>
      <c r="E1690" s="2"/>
    </row>
    <row r="1691" spans="1:5">
      <c r="A1691" s="8" t="str">
        <f t="shared" ca="1" si="27"/>
        <v/>
      </c>
      <c r="B1691" s="12"/>
      <c r="C1691" s="4"/>
      <c r="D1691" s="11"/>
      <c r="E1691" s="2"/>
    </row>
    <row r="1692" spans="1:5">
      <c r="A1692" s="8" t="str">
        <f t="shared" ca="1" si="27"/>
        <v/>
      </c>
      <c r="B1692" s="12"/>
      <c r="C1692" s="4"/>
      <c r="D1692" s="11"/>
      <c r="E1692" s="2"/>
    </row>
    <row r="1693" spans="1:5">
      <c r="A1693" s="8" t="str">
        <f t="shared" ca="1" si="27"/>
        <v/>
      </c>
      <c r="B1693" s="12"/>
      <c r="C1693" s="4"/>
      <c r="D1693" s="11"/>
      <c r="E1693" s="2"/>
    </row>
    <row r="1694" spans="1:5">
      <c r="A1694" s="8" t="str">
        <f t="shared" ca="1" si="27"/>
        <v/>
      </c>
      <c r="B1694" s="12"/>
      <c r="C1694" s="4"/>
      <c r="D1694" s="11"/>
      <c r="E1694" s="2"/>
    </row>
    <row r="1695" spans="1:5">
      <c r="A1695" s="8" t="str">
        <f t="shared" ca="1" si="27"/>
        <v/>
      </c>
      <c r="B1695" s="12"/>
      <c r="C1695" s="4"/>
      <c r="D1695" s="11"/>
      <c r="E1695" s="2"/>
    </row>
    <row r="1696" spans="1:5">
      <c r="A1696" s="8" t="str">
        <f t="shared" ca="1" si="27"/>
        <v/>
      </c>
      <c r="B1696" s="12"/>
      <c r="C1696" s="4"/>
      <c r="D1696" s="11"/>
      <c r="E1696" s="2"/>
    </row>
    <row r="1697" spans="1:5">
      <c r="A1697" s="8" t="str">
        <f t="shared" ca="1" si="27"/>
        <v/>
      </c>
      <c r="B1697" s="12"/>
      <c r="C1697" s="4"/>
      <c r="D1697" s="11"/>
      <c r="E1697" s="2"/>
    </row>
    <row r="1698" spans="1:5">
      <c r="A1698" s="8" t="str">
        <f t="shared" ca="1" si="27"/>
        <v/>
      </c>
      <c r="B1698" s="12"/>
      <c r="C1698" s="4"/>
      <c r="D1698" s="11"/>
      <c r="E1698" s="2"/>
    </row>
    <row r="1699" spans="1:5">
      <c r="A1699" s="8" t="str">
        <f t="shared" ca="1" si="27"/>
        <v/>
      </c>
      <c r="B1699" s="12"/>
      <c r="C1699" s="4"/>
      <c r="D1699" s="11"/>
      <c r="E1699" s="2"/>
    </row>
    <row r="1700" spans="1:5">
      <c r="A1700" s="8" t="str">
        <f t="shared" ca="1" si="27"/>
        <v/>
      </c>
      <c r="B1700" s="12"/>
      <c r="C1700" s="4"/>
      <c r="D1700" s="11"/>
      <c r="E1700" s="2"/>
    </row>
    <row r="1701" spans="1:5">
      <c r="A1701" s="8" t="str">
        <f t="shared" ca="1" si="27"/>
        <v/>
      </c>
      <c r="B1701" s="12"/>
      <c r="C1701" s="4"/>
      <c r="D1701" s="11"/>
      <c r="E1701" s="2"/>
    </row>
    <row r="1702" spans="1:5">
      <c r="A1702" s="8" t="str">
        <f t="shared" ca="1" si="27"/>
        <v/>
      </c>
      <c r="B1702" s="12"/>
      <c r="C1702" s="4"/>
      <c r="D1702" s="11"/>
      <c r="E1702" s="2"/>
    </row>
    <row r="1703" spans="1:5">
      <c r="A1703" s="8" t="str">
        <f t="shared" ca="1" si="27"/>
        <v/>
      </c>
      <c r="B1703" s="12"/>
      <c r="C1703" s="4"/>
      <c r="D1703" s="11"/>
      <c r="E1703" s="2"/>
    </row>
    <row r="1704" spans="1:5">
      <c r="A1704" s="8" t="str">
        <f t="shared" ca="1" si="27"/>
        <v/>
      </c>
      <c r="B1704" s="12"/>
      <c r="C1704" s="4"/>
      <c r="D1704" s="11"/>
      <c r="E1704" s="2"/>
    </row>
    <row r="1705" spans="1:5">
      <c r="A1705" s="8" t="str">
        <f t="shared" ca="1" si="27"/>
        <v/>
      </c>
      <c r="B1705" s="12"/>
      <c r="C1705" s="4"/>
      <c r="D1705" s="11"/>
      <c r="E1705" s="2"/>
    </row>
    <row r="1706" spans="1:5">
      <c r="A1706" s="8" t="str">
        <f t="shared" ca="1" si="27"/>
        <v/>
      </c>
      <c r="B1706" s="12"/>
      <c r="C1706" s="4"/>
      <c r="D1706" s="11"/>
      <c r="E1706" s="2"/>
    </row>
    <row r="1707" spans="1:5">
      <c r="A1707" s="8" t="str">
        <f t="shared" ca="1" si="27"/>
        <v/>
      </c>
      <c r="B1707" s="12"/>
      <c r="C1707" s="4"/>
      <c r="D1707" s="11"/>
      <c r="E1707" s="2"/>
    </row>
    <row r="1708" spans="1:5">
      <c r="A1708" s="8" t="str">
        <f t="shared" ca="1" si="27"/>
        <v/>
      </c>
      <c r="B1708" s="12"/>
      <c r="C1708" s="4"/>
      <c r="D1708" s="11"/>
      <c r="E1708" s="2"/>
    </row>
    <row r="1709" spans="1:5">
      <c r="A1709" s="8" t="str">
        <f t="shared" ca="1" si="27"/>
        <v/>
      </c>
      <c r="B1709" s="12"/>
      <c r="C1709" s="4"/>
      <c r="D1709" s="11"/>
      <c r="E1709" s="2"/>
    </row>
    <row r="1710" spans="1:5">
      <c r="A1710" s="8" t="str">
        <f t="shared" ca="1" si="27"/>
        <v/>
      </c>
      <c r="B1710" s="12"/>
      <c r="C1710" s="4"/>
      <c r="D1710" s="11"/>
      <c r="E1710" s="2"/>
    </row>
    <row r="1711" spans="1:5">
      <c r="A1711" s="8" t="str">
        <f t="shared" ca="1" si="27"/>
        <v/>
      </c>
      <c r="B1711" s="12"/>
      <c r="C1711" s="4"/>
      <c r="D1711" s="11"/>
      <c r="E1711" s="2"/>
    </row>
    <row r="1712" spans="1:5">
      <c r="A1712" s="8" t="str">
        <f t="shared" ca="1" si="27"/>
        <v/>
      </c>
      <c r="B1712" s="12"/>
      <c r="C1712" s="4"/>
      <c r="D1712" s="11"/>
      <c r="E1712" s="2"/>
    </row>
    <row r="1713" spans="1:5">
      <c r="A1713" s="8" t="str">
        <f t="shared" ca="1" si="27"/>
        <v/>
      </c>
      <c r="B1713" s="12"/>
      <c r="C1713" s="4"/>
      <c r="D1713" s="11"/>
      <c r="E1713" s="2"/>
    </row>
    <row r="1714" spans="1:5">
      <c r="A1714" s="8" t="str">
        <f t="shared" ca="1" si="27"/>
        <v/>
      </c>
      <c r="B1714" s="12"/>
      <c r="C1714" s="4"/>
      <c r="D1714" s="11"/>
      <c r="E1714" s="2"/>
    </row>
    <row r="1715" spans="1:5">
      <c r="A1715" s="8" t="str">
        <f t="shared" ca="1" si="27"/>
        <v/>
      </c>
      <c r="B1715" s="12"/>
      <c r="C1715" s="4"/>
      <c r="D1715" s="11"/>
      <c r="E1715" s="2"/>
    </row>
    <row r="1716" spans="1:5">
      <c r="A1716" s="8" t="str">
        <f t="shared" ca="1" si="27"/>
        <v/>
      </c>
      <c r="B1716" s="12"/>
      <c r="C1716" s="4"/>
      <c r="D1716" s="11"/>
      <c r="E1716" s="2"/>
    </row>
    <row r="1717" spans="1:5">
      <c r="A1717" s="8" t="str">
        <f t="shared" ca="1" si="27"/>
        <v/>
      </c>
      <c r="B1717" s="12"/>
      <c r="C1717" s="4"/>
      <c r="D1717" s="11"/>
      <c r="E1717" s="2"/>
    </row>
    <row r="1718" spans="1:5">
      <c r="A1718" s="8" t="str">
        <f t="shared" ca="1" si="27"/>
        <v/>
      </c>
      <c r="B1718" s="12"/>
      <c r="C1718" s="4"/>
      <c r="D1718" s="11"/>
      <c r="E1718" s="2"/>
    </row>
    <row r="1719" spans="1:5">
      <c r="A1719" s="8" t="str">
        <f t="shared" ca="1" si="27"/>
        <v/>
      </c>
      <c r="B1719" s="12"/>
      <c r="C1719" s="4"/>
      <c r="D1719" s="11"/>
      <c r="E1719" s="2"/>
    </row>
    <row r="1720" spans="1:5">
      <c r="A1720" s="8" t="str">
        <f t="shared" ca="1" si="27"/>
        <v/>
      </c>
      <c r="B1720" s="12"/>
      <c r="C1720" s="4"/>
      <c r="D1720" s="11"/>
      <c r="E1720" s="2"/>
    </row>
    <row r="1721" spans="1:5">
      <c r="A1721" s="8" t="str">
        <f t="shared" ca="1" si="27"/>
        <v/>
      </c>
      <c r="B1721" s="12"/>
      <c r="C1721" s="4"/>
      <c r="D1721" s="11"/>
      <c r="E1721" s="2"/>
    </row>
    <row r="1722" spans="1:5">
      <c r="A1722" s="8" t="str">
        <f t="shared" ca="1" si="27"/>
        <v/>
      </c>
      <c r="B1722" s="12"/>
      <c r="C1722" s="4"/>
      <c r="D1722" s="11"/>
      <c r="E1722" s="2"/>
    </row>
    <row r="1723" spans="1:5">
      <c r="A1723" s="8" t="str">
        <f t="shared" ca="1" si="27"/>
        <v/>
      </c>
      <c r="B1723" s="12"/>
      <c r="C1723" s="4"/>
      <c r="D1723" s="11"/>
      <c r="E1723" s="2"/>
    </row>
    <row r="1724" spans="1:5">
      <c r="A1724" s="8" t="str">
        <f t="shared" ca="1" si="27"/>
        <v/>
      </c>
      <c r="B1724" s="12"/>
      <c r="C1724" s="4"/>
      <c r="D1724" s="11"/>
      <c r="E1724" s="2"/>
    </row>
    <row r="1725" spans="1:5">
      <c r="A1725" s="8" t="str">
        <f t="shared" ca="1" si="27"/>
        <v/>
      </c>
      <c r="B1725" s="12"/>
      <c r="C1725" s="4"/>
      <c r="D1725" s="11"/>
      <c r="E1725" s="2"/>
    </row>
    <row r="1726" spans="1:5">
      <c r="A1726" s="8" t="str">
        <f t="shared" ca="1" si="27"/>
        <v/>
      </c>
      <c r="B1726" s="12"/>
      <c r="C1726" s="4"/>
      <c r="D1726" s="11"/>
      <c r="E1726" s="2"/>
    </row>
    <row r="1727" spans="1:5">
      <c r="A1727" s="8" t="str">
        <f t="shared" ca="1" si="27"/>
        <v/>
      </c>
      <c r="B1727" s="12"/>
      <c r="C1727" s="4"/>
      <c r="D1727" s="11"/>
      <c r="E1727" s="2"/>
    </row>
    <row r="1728" spans="1:5">
      <c r="A1728" s="8" t="str">
        <f t="shared" ca="1" si="27"/>
        <v/>
      </c>
      <c r="B1728" s="12"/>
      <c r="C1728" s="4"/>
      <c r="D1728" s="11"/>
      <c r="E1728" s="2"/>
    </row>
    <row r="1729" spans="1:5">
      <c r="A1729" s="8" t="str">
        <f t="shared" ca="1" si="27"/>
        <v/>
      </c>
      <c r="B1729" s="12"/>
      <c r="C1729" s="4"/>
      <c r="D1729" s="11"/>
      <c r="E1729" s="2"/>
    </row>
    <row r="1730" spans="1:5">
      <c r="A1730" s="8" t="str">
        <f t="shared" ca="1" si="27"/>
        <v/>
      </c>
      <c r="B1730" s="12"/>
      <c r="C1730" s="4"/>
      <c r="D1730" s="11"/>
      <c r="E1730" s="2"/>
    </row>
    <row r="1731" spans="1:5">
      <c r="A1731" s="8" t="str">
        <f t="shared" ca="1" si="27"/>
        <v/>
      </c>
      <c r="B1731" s="12"/>
      <c r="C1731" s="4"/>
      <c r="D1731" s="11"/>
      <c r="E1731" s="2"/>
    </row>
    <row r="1732" spans="1:5">
      <c r="A1732" s="8" t="str">
        <f t="shared" ca="1" si="27"/>
        <v/>
      </c>
      <c r="B1732" s="12"/>
      <c r="C1732" s="4"/>
      <c r="D1732" s="11"/>
      <c r="E1732" s="2"/>
    </row>
    <row r="1733" spans="1:5">
      <c r="A1733" s="8" t="str">
        <f t="shared" ca="1" si="27"/>
        <v/>
      </c>
      <c r="B1733" s="12"/>
      <c r="C1733" s="4"/>
      <c r="D1733" s="11"/>
      <c r="E1733" s="2"/>
    </row>
    <row r="1734" spans="1:5">
      <c r="A1734" s="8" t="str">
        <f t="shared" ca="1" si="27"/>
        <v/>
      </c>
      <c r="B1734" s="12"/>
      <c r="C1734" s="4"/>
      <c r="D1734" s="11"/>
      <c r="E1734" s="2"/>
    </row>
    <row r="1735" spans="1:5">
      <c r="A1735" s="8" t="str">
        <f t="shared" ca="1" si="27"/>
        <v/>
      </c>
      <c r="B1735" s="12"/>
      <c r="C1735" s="4"/>
      <c r="D1735" s="11"/>
      <c r="E1735" s="2"/>
    </row>
    <row r="1736" spans="1:5">
      <c r="A1736" s="8" t="str">
        <f t="shared" ca="1" si="27"/>
        <v/>
      </c>
      <c r="B1736" s="12"/>
      <c r="C1736" s="4"/>
      <c r="D1736" s="11"/>
      <c r="E1736" s="2"/>
    </row>
    <row r="1737" spans="1:5">
      <c r="A1737" s="8" t="str">
        <f t="shared" ca="1" si="27"/>
        <v/>
      </c>
      <c r="B1737" s="12"/>
      <c r="C1737" s="4"/>
      <c r="D1737" s="11"/>
      <c r="E1737" s="2"/>
    </row>
    <row r="1738" spans="1:5">
      <c r="A1738" s="8" t="str">
        <f t="shared" ref="A1738:A1801" ca="1" si="28">IF(B1738="","",IF(A1738="",TODAY(),A1738))</f>
        <v/>
      </c>
      <c r="B1738" s="12"/>
      <c r="C1738" s="4"/>
      <c r="D1738" s="11"/>
      <c r="E1738" s="2"/>
    </row>
    <row r="1739" spans="1:5">
      <c r="A1739" s="8" t="str">
        <f t="shared" ca="1" si="28"/>
        <v/>
      </c>
      <c r="B1739" s="12"/>
      <c r="C1739" s="4"/>
      <c r="D1739" s="11"/>
      <c r="E1739" s="2"/>
    </row>
    <row r="1740" spans="1:5">
      <c r="A1740" s="8" t="str">
        <f t="shared" ca="1" si="28"/>
        <v/>
      </c>
      <c r="B1740" s="12"/>
      <c r="C1740" s="4"/>
      <c r="D1740" s="11"/>
      <c r="E1740" s="2"/>
    </row>
    <row r="1741" spans="1:5">
      <c r="A1741" s="8" t="str">
        <f t="shared" ca="1" si="28"/>
        <v/>
      </c>
      <c r="B1741" s="12"/>
      <c r="C1741" s="4"/>
      <c r="D1741" s="11"/>
      <c r="E1741" s="2"/>
    </row>
    <row r="1742" spans="1:5">
      <c r="A1742" s="8" t="str">
        <f t="shared" ca="1" si="28"/>
        <v/>
      </c>
      <c r="B1742" s="12"/>
      <c r="C1742" s="4"/>
      <c r="D1742" s="11"/>
      <c r="E1742" s="2"/>
    </row>
    <row r="1743" spans="1:5">
      <c r="A1743" s="8" t="str">
        <f t="shared" ca="1" si="28"/>
        <v/>
      </c>
      <c r="B1743" s="12"/>
      <c r="C1743" s="4"/>
      <c r="D1743" s="11"/>
      <c r="E1743" s="2"/>
    </row>
    <row r="1744" spans="1:5">
      <c r="A1744" s="8" t="str">
        <f t="shared" ca="1" si="28"/>
        <v/>
      </c>
      <c r="B1744" s="12"/>
      <c r="C1744" s="4"/>
      <c r="D1744" s="11"/>
      <c r="E1744" s="2"/>
    </row>
    <row r="1745" spans="1:5">
      <c r="A1745" s="8" t="str">
        <f t="shared" ca="1" si="28"/>
        <v/>
      </c>
      <c r="B1745" s="12"/>
      <c r="C1745" s="4"/>
      <c r="D1745" s="11"/>
      <c r="E1745" s="2"/>
    </row>
    <row r="1746" spans="1:5">
      <c r="A1746" s="8" t="str">
        <f t="shared" ca="1" si="28"/>
        <v/>
      </c>
      <c r="B1746" s="12"/>
      <c r="C1746" s="4"/>
      <c r="D1746" s="11"/>
      <c r="E1746" s="2"/>
    </row>
    <row r="1747" spans="1:5">
      <c r="A1747" s="8" t="str">
        <f t="shared" ca="1" si="28"/>
        <v/>
      </c>
      <c r="B1747" s="12"/>
      <c r="C1747" s="4"/>
      <c r="D1747" s="11"/>
      <c r="E1747" s="2"/>
    </row>
    <row r="1748" spans="1:5">
      <c r="A1748" s="8" t="str">
        <f t="shared" ca="1" si="28"/>
        <v/>
      </c>
      <c r="B1748" s="12"/>
      <c r="C1748" s="4"/>
      <c r="D1748" s="11"/>
      <c r="E1748" s="2"/>
    </row>
    <row r="1749" spans="1:5">
      <c r="A1749" s="8" t="str">
        <f t="shared" ca="1" si="28"/>
        <v/>
      </c>
      <c r="B1749" s="12"/>
      <c r="C1749" s="4"/>
      <c r="D1749" s="11"/>
      <c r="E1749" s="2"/>
    </row>
    <row r="1750" spans="1:5">
      <c r="A1750" s="8" t="str">
        <f t="shared" ca="1" si="28"/>
        <v/>
      </c>
      <c r="B1750" s="12"/>
      <c r="C1750" s="4"/>
      <c r="D1750" s="11"/>
      <c r="E1750" s="2"/>
    </row>
    <row r="1751" spans="1:5">
      <c r="A1751" s="8" t="str">
        <f t="shared" ca="1" si="28"/>
        <v/>
      </c>
      <c r="B1751" s="12"/>
      <c r="C1751" s="4"/>
      <c r="D1751" s="11"/>
      <c r="E1751" s="2"/>
    </row>
    <row r="1752" spans="1:5">
      <c r="A1752" s="8" t="str">
        <f t="shared" ca="1" si="28"/>
        <v/>
      </c>
      <c r="B1752" s="12"/>
      <c r="C1752" s="4"/>
      <c r="D1752" s="11"/>
      <c r="E1752" s="2"/>
    </row>
    <row r="1753" spans="1:5">
      <c r="A1753" s="8" t="str">
        <f t="shared" ca="1" si="28"/>
        <v/>
      </c>
      <c r="B1753" s="12"/>
      <c r="C1753" s="4"/>
      <c r="D1753" s="11"/>
      <c r="E1753" s="2"/>
    </row>
    <row r="1754" spans="1:5">
      <c r="A1754" s="8" t="str">
        <f t="shared" ca="1" si="28"/>
        <v/>
      </c>
      <c r="B1754" s="12"/>
      <c r="C1754" s="4"/>
      <c r="D1754" s="11"/>
      <c r="E1754" s="2"/>
    </row>
    <row r="1755" spans="1:5">
      <c r="A1755" s="8" t="str">
        <f t="shared" ca="1" si="28"/>
        <v/>
      </c>
      <c r="B1755" s="12"/>
      <c r="C1755" s="4"/>
      <c r="D1755" s="11"/>
      <c r="E1755" s="2"/>
    </row>
    <row r="1756" spans="1:5">
      <c r="A1756" s="8" t="str">
        <f t="shared" ca="1" si="28"/>
        <v/>
      </c>
      <c r="B1756" s="12"/>
      <c r="C1756" s="4"/>
      <c r="D1756" s="11"/>
      <c r="E1756" s="2"/>
    </row>
    <row r="1757" spans="1:5">
      <c r="A1757" s="8" t="str">
        <f t="shared" ca="1" si="28"/>
        <v/>
      </c>
      <c r="B1757" s="12"/>
      <c r="C1757" s="4"/>
      <c r="D1757" s="11"/>
      <c r="E1757" s="2"/>
    </row>
    <row r="1758" spans="1:5">
      <c r="A1758" s="8" t="str">
        <f t="shared" ca="1" si="28"/>
        <v/>
      </c>
      <c r="B1758" s="12"/>
      <c r="C1758" s="4"/>
      <c r="D1758" s="11"/>
      <c r="E1758" s="2"/>
    </row>
    <row r="1759" spans="1:5">
      <c r="A1759" s="8" t="str">
        <f t="shared" ca="1" si="28"/>
        <v/>
      </c>
      <c r="B1759" s="12"/>
      <c r="C1759" s="4"/>
      <c r="D1759" s="11"/>
      <c r="E1759" s="2"/>
    </row>
    <row r="1760" spans="1:5">
      <c r="A1760" s="8" t="str">
        <f t="shared" ca="1" si="28"/>
        <v/>
      </c>
      <c r="B1760" s="12"/>
      <c r="C1760" s="4"/>
      <c r="D1760" s="11"/>
      <c r="E1760" s="2"/>
    </row>
    <row r="1761" spans="1:5">
      <c r="A1761" s="8" t="str">
        <f t="shared" ca="1" si="28"/>
        <v/>
      </c>
      <c r="B1761" s="12"/>
      <c r="C1761" s="4"/>
      <c r="D1761" s="11"/>
      <c r="E1761" s="2"/>
    </row>
    <row r="1762" spans="1:5">
      <c r="A1762" s="8" t="str">
        <f t="shared" ca="1" si="28"/>
        <v/>
      </c>
      <c r="B1762" s="12"/>
      <c r="C1762" s="4"/>
      <c r="D1762" s="11"/>
      <c r="E1762" s="2"/>
    </row>
    <row r="1763" spans="1:5">
      <c r="A1763" s="8" t="str">
        <f t="shared" ca="1" si="28"/>
        <v/>
      </c>
      <c r="B1763" s="12"/>
      <c r="C1763" s="4"/>
      <c r="D1763" s="11"/>
      <c r="E1763" s="2"/>
    </row>
    <row r="1764" spans="1:5">
      <c r="A1764" s="8" t="str">
        <f t="shared" ca="1" si="28"/>
        <v/>
      </c>
      <c r="B1764" s="12"/>
      <c r="C1764" s="4"/>
      <c r="D1764" s="11"/>
      <c r="E1764" s="2"/>
    </row>
    <row r="1765" spans="1:5">
      <c r="A1765" s="8" t="str">
        <f t="shared" ca="1" si="28"/>
        <v/>
      </c>
      <c r="B1765" s="12"/>
      <c r="C1765" s="4"/>
      <c r="D1765" s="11"/>
      <c r="E1765" s="2"/>
    </row>
    <row r="1766" spans="1:5">
      <c r="A1766" s="8" t="str">
        <f t="shared" ca="1" si="28"/>
        <v/>
      </c>
      <c r="B1766" s="12"/>
      <c r="C1766" s="4"/>
      <c r="D1766" s="11"/>
      <c r="E1766" s="2"/>
    </row>
    <row r="1767" spans="1:5">
      <c r="A1767" s="8" t="str">
        <f t="shared" ca="1" si="28"/>
        <v/>
      </c>
      <c r="B1767" s="12"/>
      <c r="C1767" s="4"/>
      <c r="D1767" s="11"/>
      <c r="E1767" s="2"/>
    </row>
    <row r="1768" spans="1:5">
      <c r="A1768" s="8" t="str">
        <f t="shared" ca="1" si="28"/>
        <v/>
      </c>
      <c r="B1768" s="12"/>
      <c r="C1768" s="4"/>
      <c r="D1768" s="11"/>
      <c r="E1768" s="2"/>
    </row>
    <row r="1769" spans="1:5">
      <c r="A1769" s="8" t="str">
        <f t="shared" ca="1" si="28"/>
        <v/>
      </c>
      <c r="B1769" s="12"/>
      <c r="C1769" s="4"/>
      <c r="D1769" s="11"/>
      <c r="E1769" s="2"/>
    </row>
    <row r="1770" spans="1:5">
      <c r="A1770" s="8" t="str">
        <f t="shared" ca="1" si="28"/>
        <v/>
      </c>
      <c r="B1770" s="12"/>
      <c r="C1770" s="4"/>
      <c r="D1770" s="11"/>
      <c r="E1770" s="2"/>
    </row>
    <row r="1771" spans="1:5">
      <c r="A1771" s="8" t="str">
        <f t="shared" ca="1" si="28"/>
        <v/>
      </c>
      <c r="B1771" s="12"/>
      <c r="C1771" s="4"/>
      <c r="D1771" s="11"/>
      <c r="E1771" s="2"/>
    </row>
    <row r="1772" spans="1:5">
      <c r="A1772" s="8" t="str">
        <f t="shared" ca="1" si="28"/>
        <v/>
      </c>
      <c r="B1772" s="12"/>
      <c r="C1772" s="4"/>
      <c r="D1772" s="11"/>
      <c r="E1772" s="2"/>
    </row>
    <row r="1773" spans="1:5">
      <c r="A1773" s="8" t="str">
        <f t="shared" ca="1" si="28"/>
        <v/>
      </c>
      <c r="B1773" s="12"/>
      <c r="C1773" s="4"/>
      <c r="D1773" s="11"/>
      <c r="E1773" s="2"/>
    </row>
    <row r="1774" spans="1:5">
      <c r="A1774" s="8" t="str">
        <f t="shared" ca="1" si="28"/>
        <v/>
      </c>
      <c r="B1774" s="12"/>
      <c r="C1774" s="4"/>
      <c r="D1774" s="11"/>
      <c r="E1774" s="2"/>
    </row>
    <row r="1775" spans="1:5">
      <c r="A1775" s="8" t="str">
        <f t="shared" ca="1" si="28"/>
        <v/>
      </c>
      <c r="B1775" s="12"/>
      <c r="C1775" s="4"/>
      <c r="D1775" s="11"/>
      <c r="E1775" s="2"/>
    </row>
    <row r="1776" spans="1:5">
      <c r="A1776" s="8" t="str">
        <f t="shared" ca="1" si="28"/>
        <v/>
      </c>
      <c r="B1776" s="12"/>
      <c r="C1776" s="4"/>
      <c r="D1776" s="11"/>
      <c r="E1776" s="2"/>
    </row>
    <row r="1777" spans="1:5">
      <c r="A1777" s="8" t="str">
        <f t="shared" ca="1" si="28"/>
        <v/>
      </c>
      <c r="B1777" s="12"/>
      <c r="C1777" s="4"/>
      <c r="D1777" s="11"/>
      <c r="E1777" s="2"/>
    </row>
    <row r="1778" spans="1:5">
      <c r="A1778" s="8" t="str">
        <f t="shared" ca="1" si="28"/>
        <v/>
      </c>
      <c r="B1778" s="12"/>
      <c r="C1778" s="4"/>
      <c r="D1778" s="11"/>
      <c r="E1778" s="2"/>
    </row>
    <row r="1779" spans="1:5">
      <c r="A1779" s="8" t="str">
        <f t="shared" ca="1" si="28"/>
        <v/>
      </c>
      <c r="B1779" s="12"/>
      <c r="C1779" s="4"/>
      <c r="D1779" s="11"/>
      <c r="E1779" s="2"/>
    </row>
    <row r="1780" spans="1:5">
      <c r="A1780" s="8" t="str">
        <f t="shared" ca="1" si="28"/>
        <v/>
      </c>
      <c r="B1780" s="12"/>
      <c r="C1780" s="4"/>
      <c r="D1780" s="11"/>
      <c r="E1780" s="2"/>
    </row>
    <row r="1781" spans="1:5">
      <c r="A1781" s="8" t="str">
        <f t="shared" ca="1" si="28"/>
        <v/>
      </c>
      <c r="B1781" s="12"/>
      <c r="C1781" s="4"/>
      <c r="D1781" s="11"/>
      <c r="E1781" s="2"/>
    </row>
    <row r="1782" spans="1:5">
      <c r="A1782" s="8" t="str">
        <f t="shared" ca="1" si="28"/>
        <v/>
      </c>
      <c r="B1782" s="12"/>
      <c r="C1782" s="4"/>
      <c r="D1782" s="11"/>
      <c r="E1782" s="2"/>
    </row>
    <row r="1783" spans="1:5">
      <c r="A1783" s="8" t="str">
        <f t="shared" ca="1" si="28"/>
        <v/>
      </c>
      <c r="B1783" s="12"/>
      <c r="C1783" s="4"/>
      <c r="D1783" s="11"/>
      <c r="E1783" s="2"/>
    </row>
    <row r="1784" spans="1:5">
      <c r="A1784" s="8" t="str">
        <f t="shared" ca="1" si="28"/>
        <v/>
      </c>
      <c r="B1784" s="12"/>
      <c r="C1784" s="4"/>
      <c r="D1784" s="11"/>
      <c r="E1784" s="2"/>
    </row>
    <row r="1785" spans="1:5">
      <c r="A1785" s="8" t="str">
        <f t="shared" ca="1" si="28"/>
        <v/>
      </c>
      <c r="B1785" s="12"/>
      <c r="C1785" s="4"/>
      <c r="D1785" s="11"/>
      <c r="E1785" s="2"/>
    </row>
    <row r="1786" spans="1:5">
      <c r="A1786" s="8" t="str">
        <f t="shared" ca="1" si="28"/>
        <v/>
      </c>
      <c r="B1786" s="12"/>
      <c r="C1786" s="4"/>
      <c r="D1786" s="11"/>
      <c r="E1786" s="2"/>
    </row>
    <row r="1787" spans="1:5">
      <c r="A1787" s="8" t="str">
        <f t="shared" ca="1" si="28"/>
        <v/>
      </c>
      <c r="B1787" s="12"/>
      <c r="C1787" s="4"/>
      <c r="D1787" s="11"/>
      <c r="E1787" s="2"/>
    </row>
    <row r="1788" spans="1:5">
      <c r="A1788" s="8" t="str">
        <f t="shared" ca="1" si="28"/>
        <v/>
      </c>
      <c r="B1788" s="12"/>
      <c r="C1788" s="4"/>
      <c r="D1788" s="11"/>
      <c r="E1788" s="2"/>
    </row>
    <row r="1789" spans="1:5">
      <c r="A1789" s="8" t="str">
        <f t="shared" ca="1" si="28"/>
        <v/>
      </c>
      <c r="B1789" s="12"/>
      <c r="C1789" s="4"/>
      <c r="D1789" s="11"/>
      <c r="E1789" s="2"/>
    </row>
    <row r="1790" spans="1:5">
      <c r="A1790" s="8" t="str">
        <f t="shared" ca="1" si="28"/>
        <v/>
      </c>
      <c r="B1790" s="12"/>
      <c r="C1790" s="4"/>
      <c r="D1790" s="11"/>
      <c r="E1790" s="2"/>
    </row>
    <row r="1791" spans="1:5">
      <c r="A1791" s="8" t="str">
        <f t="shared" ca="1" si="28"/>
        <v/>
      </c>
      <c r="B1791" s="12"/>
      <c r="C1791" s="4"/>
      <c r="D1791" s="11"/>
      <c r="E1791" s="2"/>
    </row>
    <row r="1792" spans="1:5">
      <c r="A1792" s="8" t="str">
        <f t="shared" ca="1" si="28"/>
        <v/>
      </c>
      <c r="B1792" s="12"/>
      <c r="C1792" s="4"/>
      <c r="D1792" s="11"/>
      <c r="E1792" s="2"/>
    </row>
    <row r="1793" spans="1:5">
      <c r="A1793" s="8" t="str">
        <f t="shared" ca="1" si="28"/>
        <v/>
      </c>
      <c r="B1793" s="12"/>
      <c r="C1793" s="4"/>
      <c r="D1793" s="11"/>
      <c r="E1793" s="2"/>
    </row>
    <row r="1794" spans="1:5">
      <c r="A1794" s="8" t="str">
        <f t="shared" ca="1" si="28"/>
        <v/>
      </c>
      <c r="B1794" s="12"/>
      <c r="C1794" s="4"/>
      <c r="D1794" s="11"/>
      <c r="E1794" s="2"/>
    </row>
    <row r="1795" spans="1:5">
      <c r="A1795" s="8" t="str">
        <f t="shared" ca="1" si="28"/>
        <v/>
      </c>
      <c r="B1795" s="12"/>
      <c r="C1795" s="4"/>
      <c r="D1795" s="11"/>
      <c r="E1795" s="2"/>
    </row>
    <row r="1796" spans="1:5">
      <c r="A1796" s="8" t="str">
        <f t="shared" ca="1" si="28"/>
        <v/>
      </c>
      <c r="B1796" s="12"/>
      <c r="C1796" s="4"/>
      <c r="D1796" s="11"/>
      <c r="E1796" s="2"/>
    </row>
    <row r="1797" spans="1:5">
      <c r="A1797" s="8" t="str">
        <f t="shared" ca="1" si="28"/>
        <v/>
      </c>
      <c r="B1797" s="12"/>
      <c r="C1797" s="4"/>
      <c r="D1797" s="11"/>
      <c r="E1797" s="2"/>
    </row>
    <row r="1798" spans="1:5">
      <c r="A1798" s="8" t="str">
        <f t="shared" ca="1" si="28"/>
        <v/>
      </c>
      <c r="B1798" s="12"/>
      <c r="C1798" s="4"/>
      <c r="D1798" s="11"/>
      <c r="E1798" s="2"/>
    </row>
    <row r="1799" spans="1:5">
      <c r="A1799" s="8" t="str">
        <f t="shared" ca="1" si="28"/>
        <v/>
      </c>
      <c r="B1799" s="12"/>
      <c r="C1799" s="4"/>
      <c r="D1799" s="11"/>
      <c r="E1799" s="2"/>
    </row>
    <row r="1800" spans="1:5">
      <c r="A1800" s="8" t="str">
        <f t="shared" ca="1" si="28"/>
        <v/>
      </c>
      <c r="B1800" s="12"/>
      <c r="C1800" s="4"/>
      <c r="D1800" s="11"/>
      <c r="E1800" s="2"/>
    </row>
    <row r="1801" spans="1:5">
      <c r="A1801" s="8" t="str">
        <f t="shared" ca="1" si="28"/>
        <v/>
      </c>
      <c r="B1801" s="12"/>
      <c r="C1801" s="4"/>
      <c r="D1801" s="11"/>
      <c r="E1801" s="2"/>
    </row>
    <row r="1802" spans="1:5">
      <c r="A1802" s="8" t="str">
        <f t="shared" ref="A1802:A1865" ca="1" si="29">IF(B1802="","",IF(A1802="",TODAY(),A1802))</f>
        <v/>
      </c>
      <c r="B1802" s="12"/>
      <c r="C1802" s="4"/>
      <c r="D1802" s="11"/>
      <c r="E1802" s="2"/>
    </row>
    <row r="1803" spans="1:5">
      <c r="A1803" s="8" t="str">
        <f t="shared" ca="1" si="29"/>
        <v/>
      </c>
      <c r="B1803" s="12"/>
      <c r="C1803" s="4"/>
      <c r="D1803" s="11"/>
      <c r="E1803" s="2"/>
    </row>
    <row r="1804" spans="1:5">
      <c r="A1804" s="8" t="str">
        <f t="shared" ca="1" si="29"/>
        <v/>
      </c>
      <c r="B1804" s="12"/>
      <c r="C1804" s="4"/>
      <c r="D1804" s="11"/>
      <c r="E1804" s="2"/>
    </row>
    <row r="1805" spans="1:5">
      <c r="A1805" s="8" t="str">
        <f t="shared" ca="1" si="29"/>
        <v/>
      </c>
      <c r="B1805" s="12"/>
      <c r="C1805" s="4"/>
      <c r="D1805" s="11"/>
      <c r="E1805" s="2"/>
    </row>
    <row r="1806" spans="1:5">
      <c r="A1806" s="8" t="str">
        <f t="shared" ca="1" si="29"/>
        <v/>
      </c>
      <c r="B1806" s="12"/>
      <c r="C1806" s="4"/>
      <c r="D1806" s="11"/>
      <c r="E1806" s="2"/>
    </row>
    <row r="1807" spans="1:5">
      <c r="A1807" s="8" t="str">
        <f t="shared" ca="1" si="29"/>
        <v/>
      </c>
      <c r="B1807" s="12"/>
      <c r="C1807" s="4"/>
      <c r="D1807" s="11"/>
      <c r="E1807" s="2"/>
    </row>
    <row r="1808" spans="1:5">
      <c r="A1808" s="8" t="str">
        <f t="shared" ca="1" si="29"/>
        <v/>
      </c>
      <c r="B1808" s="12"/>
      <c r="C1808" s="4"/>
      <c r="D1808" s="11"/>
      <c r="E1808" s="2"/>
    </row>
    <row r="1809" spans="1:5">
      <c r="A1809" s="8" t="str">
        <f t="shared" ca="1" si="29"/>
        <v/>
      </c>
      <c r="B1809" s="12"/>
      <c r="C1809" s="4"/>
      <c r="D1809" s="11"/>
      <c r="E1809" s="2"/>
    </row>
    <row r="1810" spans="1:5">
      <c r="A1810" s="8" t="str">
        <f t="shared" ca="1" si="29"/>
        <v/>
      </c>
      <c r="B1810" s="12"/>
      <c r="C1810" s="4"/>
      <c r="D1810" s="11"/>
      <c r="E1810" s="2"/>
    </row>
    <row r="1811" spans="1:5">
      <c r="A1811" s="8" t="str">
        <f t="shared" ca="1" si="29"/>
        <v/>
      </c>
      <c r="B1811" s="12"/>
      <c r="C1811" s="4"/>
      <c r="D1811" s="11"/>
      <c r="E1811" s="2"/>
    </row>
    <row r="1812" spans="1:5">
      <c r="A1812" s="8" t="str">
        <f t="shared" ca="1" si="29"/>
        <v/>
      </c>
      <c r="B1812" s="12"/>
      <c r="C1812" s="4"/>
      <c r="D1812" s="11"/>
      <c r="E1812" s="2"/>
    </row>
    <row r="1813" spans="1:5">
      <c r="A1813" s="8" t="str">
        <f t="shared" ca="1" si="29"/>
        <v/>
      </c>
      <c r="B1813" s="12"/>
      <c r="C1813" s="4"/>
      <c r="D1813" s="11"/>
      <c r="E1813" s="2"/>
    </row>
    <row r="1814" spans="1:5">
      <c r="A1814" s="8" t="str">
        <f t="shared" ca="1" si="29"/>
        <v/>
      </c>
      <c r="B1814" s="12"/>
      <c r="C1814" s="4"/>
      <c r="D1814" s="11"/>
      <c r="E1814" s="2"/>
    </row>
    <row r="1815" spans="1:5">
      <c r="A1815" s="8" t="str">
        <f t="shared" ca="1" si="29"/>
        <v/>
      </c>
      <c r="B1815" s="12"/>
      <c r="C1815" s="4"/>
      <c r="D1815" s="11"/>
      <c r="E1815" s="2"/>
    </row>
    <row r="1816" spans="1:5">
      <c r="A1816" s="8" t="str">
        <f t="shared" ca="1" si="29"/>
        <v/>
      </c>
      <c r="B1816" s="12"/>
      <c r="C1816" s="4"/>
      <c r="D1816" s="11"/>
      <c r="E1816" s="2"/>
    </row>
    <row r="1817" spans="1:5">
      <c r="A1817" s="8" t="str">
        <f t="shared" ca="1" si="29"/>
        <v/>
      </c>
      <c r="B1817" s="12"/>
      <c r="C1817" s="4"/>
      <c r="D1817" s="11"/>
      <c r="E1817" s="2"/>
    </row>
    <row r="1818" spans="1:5">
      <c r="A1818" s="8" t="str">
        <f t="shared" ca="1" si="29"/>
        <v/>
      </c>
      <c r="B1818" s="12"/>
      <c r="C1818" s="4"/>
      <c r="D1818" s="11"/>
      <c r="E1818" s="2"/>
    </row>
    <row r="1819" spans="1:5">
      <c r="A1819" s="8" t="str">
        <f t="shared" ca="1" si="29"/>
        <v/>
      </c>
      <c r="B1819" s="12"/>
      <c r="C1819" s="4"/>
      <c r="D1819" s="11"/>
      <c r="E1819" s="2"/>
    </row>
    <row r="1820" spans="1:5">
      <c r="A1820" s="8" t="str">
        <f t="shared" ca="1" si="29"/>
        <v/>
      </c>
      <c r="B1820" s="12"/>
      <c r="C1820" s="4"/>
      <c r="D1820" s="11"/>
      <c r="E1820" s="2"/>
    </row>
    <row r="1821" spans="1:5">
      <c r="A1821" s="8" t="str">
        <f t="shared" ca="1" si="29"/>
        <v/>
      </c>
      <c r="B1821" s="12"/>
      <c r="C1821" s="4"/>
      <c r="D1821" s="11"/>
      <c r="E1821" s="2"/>
    </row>
    <row r="1822" spans="1:5">
      <c r="A1822" s="8" t="str">
        <f t="shared" ca="1" si="29"/>
        <v/>
      </c>
      <c r="B1822" s="12"/>
      <c r="C1822" s="4"/>
      <c r="D1822" s="11"/>
      <c r="E1822" s="2"/>
    </row>
    <row r="1823" spans="1:5">
      <c r="A1823" s="8" t="str">
        <f t="shared" ca="1" si="29"/>
        <v/>
      </c>
      <c r="B1823" s="12"/>
      <c r="C1823" s="4"/>
      <c r="D1823" s="11"/>
      <c r="E1823" s="2"/>
    </row>
    <row r="1824" spans="1:5">
      <c r="A1824" s="8" t="str">
        <f t="shared" ca="1" si="29"/>
        <v/>
      </c>
      <c r="B1824" s="12"/>
      <c r="C1824" s="4"/>
      <c r="D1824" s="11"/>
      <c r="E1824" s="2"/>
    </row>
    <row r="1825" spans="1:5">
      <c r="A1825" s="8" t="str">
        <f t="shared" ca="1" si="29"/>
        <v/>
      </c>
      <c r="B1825" s="12"/>
      <c r="C1825" s="4"/>
      <c r="D1825" s="11"/>
      <c r="E1825" s="2"/>
    </row>
    <row r="1826" spans="1:5">
      <c r="A1826" s="8" t="str">
        <f t="shared" ca="1" si="29"/>
        <v/>
      </c>
      <c r="B1826" s="12"/>
      <c r="C1826" s="4"/>
      <c r="D1826" s="11"/>
      <c r="E1826" s="2"/>
    </row>
    <row r="1827" spans="1:5">
      <c r="A1827" s="8" t="str">
        <f t="shared" ca="1" si="29"/>
        <v/>
      </c>
      <c r="B1827" s="12"/>
      <c r="C1827" s="4"/>
      <c r="D1827" s="11"/>
      <c r="E1827" s="2"/>
    </row>
    <row r="1828" spans="1:5">
      <c r="A1828" s="8" t="str">
        <f t="shared" ca="1" si="29"/>
        <v/>
      </c>
      <c r="B1828" s="12"/>
      <c r="C1828" s="4"/>
      <c r="D1828" s="11"/>
      <c r="E1828" s="2"/>
    </row>
    <row r="1829" spans="1:5">
      <c r="A1829" s="8" t="str">
        <f t="shared" ca="1" si="29"/>
        <v/>
      </c>
      <c r="B1829" s="12"/>
      <c r="C1829" s="4"/>
      <c r="D1829" s="11"/>
      <c r="E1829" s="2"/>
    </row>
    <row r="1830" spans="1:5">
      <c r="A1830" s="8" t="str">
        <f t="shared" ca="1" si="29"/>
        <v/>
      </c>
      <c r="B1830" s="12"/>
      <c r="C1830" s="4"/>
      <c r="D1830" s="11"/>
      <c r="E1830" s="2"/>
    </row>
    <row r="1831" spans="1:5">
      <c r="A1831" s="8" t="str">
        <f t="shared" ca="1" si="29"/>
        <v/>
      </c>
      <c r="B1831" s="12"/>
      <c r="C1831" s="4"/>
      <c r="D1831" s="11"/>
      <c r="E1831" s="2"/>
    </row>
    <row r="1832" spans="1:5">
      <c r="A1832" s="8" t="str">
        <f t="shared" ca="1" si="29"/>
        <v/>
      </c>
      <c r="B1832" s="12"/>
      <c r="C1832" s="4"/>
      <c r="D1832" s="11"/>
      <c r="E1832" s="2"/>
    </row>
    <row r="1833" spans="1:5">
      <c r="A1833" s="8" t="str">
        <f t="shared" ca="1" si="29"/>
        <v/>
      </c>
      <c r="B1833" s="12"/>
      <c r="C1833" s="4"/>
      <c r="D1833" s="11"/>
      <c r="E1833" s="2"/>
    </row>
    <row r="1834" spans="1:5">
      <c r="A1834" s="8" t="str">
        <f t="shared" ca="1" si="29"/>
        <v/>
      </c>
      <c r="B1834" s="12"/>
      <c r="C1834" s="4"/>
      <c r="D1834" s="11"/>
      <c r="E1834" s="2"/>
    </row>
    <row r="1835" spans="1:5">
      <c r="A1835" s="8" t="str">
        <f t="shared" ca="1" si="29"/>
        <v/>
      </c>
      <c r="B1835" s="12"/>
      <c r="C1835" s="4"/>
      <c r="D1835" s="11"/>
      <c r="E1835" s="2"/>
    </row>
    <row r="1836" spans="1:5">
      <c r="A1836" s="8" t="str">
        <f t="shared" ca="1" si="29"/>
        <v/>
      </c>
      <c r="B1836" s="12"/>
      <c r="C1836" s="4"/>
      <c r="D1836" s="11"/>
      <c r="E1836" s="2"/>
    </row>
    <row r="1837" spans="1:5">
      <c r="A1837" s="8" t="str">
        <f t="shared" ca="1" si="29"/>
        <v/>
      </c>
      <c r="B1837" s="12"/>
      <c r="C1837" s="4"/>
      <c r="D1837" s="11"/>
      <c r="E1837" s="2"/>
    </row>
    <row r="1838" spans="1:5">
      <c r="A1838" s="8" t="str">
        <f t="shared" ca="1" si="29"/>
        <v/>
      </c>
      <c r="B1838" s="12"/>
      <c r="C1838" s="4"/>
      <c r="D1838" s="11"/>
      <c r="E1838" s="2"/>
    </row>
    <row r="1839" spans="1:5">
      <c r="A1839" s="8" t="str">
        <f t="shared" ca="1" si="29"/>
        <v/>
      </c>
      <c r="B1839" s="12"/>
      <c r="C1839" s="4"/>
      <c r="D1839" s="11"/>
      <c r="E1839" s="2"/>
    </row>
    <row r="1840" spans="1:5">
      <c r="A1840" s="8" t="str">
        <f t="shared" ca="1" si="29"/>
        <v/>
      </c>
      <c r="B1840" s="12"/>
      <c r="C1840" s="4"/>
      <c r="D1840" s="11"/>
      <c r="E1840" s="2"/>
    </row>
    <row r="1841" spans="1:5">
      <c r="A1841" s="8" t="str">
        <f t="shared" ca="1" si="29"/>
        <v/>
      </c>
      <c r="B1841" s="12"/>
      <c r="C1841" s="4"/>
      <c r="D1841" s="11"/>
      <c r="E1841" s="2"/>
    </row>
    <row r="1842" spans="1:5">
      <c r="A1842" s="8" t="str">
        <f t="shared" ca="1" si="29"/>
        <v/>
      </c>
      <c r="B1842" s="12"/>
      <c r="C1842" s="4"/>
      <c r="D1842" s="11"/>
      <c r="E1842" s="2"/>
    </row>
    <row r="1843" spans="1:5">
      <c r="A1843" s="8" t="str">
        <f t="shared" ca="1" si="29"/>
        <v/>
      </c>
      <c r="B1843" s="12"/>
      <c r="C1843" s="4"/>
      <c r="D1843" s="11"/>
      <c r="E1843" s="2"/>
    </row>
    <row r="1844" spans="1:5">
      <c r="A1844" s="8" t="str">
        <f t="shared" ca="1" si="29"/>
        <v/>
      </c>
      <c r="B1844" s="12"/>
      <c r="C1844" s="4"/>
      <c r="D1844" s="11"/>
      <c r="E1844" s="2"/>
    </row>
    <row r="1845" spans="1:5">
      <c r="A1845" s="8" t="str">
        <f t="shared" ca="1" si="29"/>
        <v/>
      </c>
      <c r="B1845" s="12"/>
      <c r="C1845" s="4"/>
      <c r="D1845" s="11"/>
      <c r="E1845" s="2"/>
    </row>
    <row r="1846" spans="1:5">
      <c r="A1846" s="8" t="str">
        <f t="shared" ca="1" si="29"/>
        <v/>
      </c>
      <c r="B1846" s="12"/>
      <c r="C1846" s="4"/>
      <c r="D1846" s="11"/>
      <c r="E1846" s="2"/>
    </row>
    <row r="1847" spans="1:5">
      <c r="A1847" s="8" t="str">
        <f t="shared" ca="1" si="29"/>
        <v/>
      </c>
      <c r="B1847" s="12"/>
      <c r="C1847" s="4"/>
      <c r="D1847" s="11"/>
      <c r="E1847" s="2"/>
    </row>
    <row r="1848" spans="1:5">
      <c r="A1848" s="8" t="str">
        <f t="shared" ca="1" si="29"/>
        <v/>
      </c>
      <c r="B1848" s="12"/>
      <c r="C1848" s="4"/>
      <c r="D1848" s="11"/>
      <c r="E1848" s="2"/>
    </row>
    <row r="1849" spans="1:5">
      <c r="A1849" s="8" t="str">
        <f t="shared" ca="1" si="29"/>
        <v/>
      </c>
      <c r="B1849" s="12"/>
      <c r="C1849" s="4"/>
      <c r="D1849" s="11"/>
      <c r="E1849" s="2"/>
    </row>
    <row r="1850" spans="1:5">
      <c r="A1850" s="8" t="str">
        <f t="shared" ca="1" si="29"/>
        <v/>
      </c>
      <c r="B1850" s="12"/>
      <c r="C1850" s="4"/>
      <c r="D1850" s="11"/>
      <c r="E1850" s="2"/>
    </row>
    <row r="1851" spans="1:5">
      <c r="A1851" s="8" t="str">
        <f t="shared" ca="1" si="29"/>
        <v/>
      </c>
      <c r="B1851" s="12"/>
      <c r="C1851" s="4"/>
      <c r="D1851" s="11"/>
      <c r="E1851" s="2"/>
    </row>
    <row r="1852" spans="1:5">
      <c r="A1852" s="8" t="str">
        <f t="shared" ca="1" si="29"/>
        <v/>
      </c>
      <c r="B1852" s="12"/>
      <c r="C1852" s="4"/>
      <c r="D1852" s="11"/>
      <c r="E1852" s="2"/>
    </row>
    <row r="1853" spans="1:5">
      <c r="A1853" s="8" t="str">
        <f t="shared" ca="1" si="29"/>
        <v/>
      </c>
      <c r="B1853" s="12"/>
      <c r="C1853" s="4"/>
      <c r="D1853" s="11"/>
      <c r="E1853" s="2"/>
    </row>
    <row r="1854" spans="1:5">
      <c r="A1854" s="8" t="str">
        <f t="shared" ca="1" si="29"/>
        <v/>
      </c>
      <c r="B1854" s="12"/>
      <c r="C1854" s="4"/>
      <c r="D1854" s="11"/>
      <c r="E1854" s="2"/>
    </row>
    <row r="1855" spans="1:5">
      <c r="A1855" s="8" t="str">
        <f t="shared" ca="1" si="29"/>
        <v/>
      </c>
      <c r="B1855" s="12"/>
      <c r="C1855" s="4"/>
      <c r="D1855" s="11"/>
      <c r="E1855" s="2"/>
    </row>
    <row r="1856" spans="1:5">
      <c r="A1856" s="8" t="str">
        <f t="shared" ca="1" si="29"/>
        <v/>
      </c>
      <c r="B1856" s="12"/>
      <c r="C1856" s="4"/>
      <c r="D1856" s="11"/>
      <c r="E1856" s="2"/>
    </row>
    <row r="1857" spans="1:5">
      <c r="A1857" s="8" t="str">
        <f t="shared" ca="1" si="29"/>
        <v/>
      </c>
      <c r="B1857" s="12"/>
      <c r="C1857" s="4"/>
      <c r="D1857" s="11"/>
      <c r="E1857" s="2"/>
    </row>
    <row r="1858" spans="1:5">
      <c r="A1858" s="8" t="str">
        <f t="shared" ca="1" si="29"/>
        <v/>
      </c>
      <c r="B1858" s="12"/>
      <c r="C1858" s="4"/>
      <c r="D1858" s="11"/>
      <c r="E1858" s="2"/>
    </row>
    <row r="1859" spans="1:5">
      <c r="A1859" s="8" t="str">
        <f t="shared" ca="1" si="29"/>
        <v/>
      </c>
      <c r="B1859" s="12"/>
      <c r="C1859" s="4"/>
      <c r="D1859" s="11"/>
      <c r="E1859" s="2"/>
    </row>
    <row r="1860" spans="1:5">
      <c r="A1860" s="8" t="str">
        <f t="shared" ca="1" si="29"/>
        <v/>
      </c>
      <c r="B1860" s="12"/>
      <c r="C1860" s="4"/>
      <c r="D1860" s="11"/>
      <c r="E1860" s="2"/>
    </row>
    <row r="1861" spans="1:5">
      <c r="A1861" s="8" t="str">
        <f t="shared" ca="1" si="29"/>
        <v/>
      </c>
      <c r="B1861" s="12"/>
      <c r="C1861" s="4"/>
      <c r="D1861" s="11"/>
      <c r="E1861" s="2"/>
    </row>
    <row r="1862" spans="1:5">
      <c r="A1862" s="8" t="str">
        <f t="shared" ca="1" si="29"/>
        <v/>
      </c>
      <c r="B1862" s="12"/>
      <c r="C1862" s="4"/>
      <c r="D1862" s="11"/>
      <c r="E1862" s="2"/>
    </row>
    <row r="1863" spans="1:5">
      <c r="A1863" s="8" t="str">
        <f t="shared" ca="1" si="29"/>
        <v/>
      </c>
      <c r="B1863" s="12"/>
      <c r="C1863" s="4"/>
      <c r="D1863" s="11"/>
      <c r="E1863" s="2"/>
    </row>
    <row r="1864" spans="1:5">
      <c r="A1864" s="8" t="str">
        <f t="shared" ca="1" si="29"/>
        <v/>
      </c>
      <c r="B1864" s="12"/>
      <c r="C1864" s="4"/>
      <c r="D1864" s="11"/>
      <c r="E1864" s="2"/>
    </row>
    <row r="1865" spans="1:5">
      <c r="A1865" s="8" t="str">
        <f t="shared" ca="1" si="29"/>
        <v/>
      </c>
      <c r="B1865" s="12"/>
      <c r="C1865" s="4"/>
      <c r="D1865" s="11"/>
      <c r="E1865" s="2"/>
    </row>
    <row r="1866" spans="1:5">
      <c r="A1866" s="8" t="str">
        <f t="shared" ref="A1866:A1929" ca="1" si="30">IF(B1866="","",IF(A1866="",TODAY(),A1866))</f>
        <v/>
      </c>
      <c r="B1866" s="12"/>
      <c r="C1866" s="4"/>
      <c r="D1866" s="11"/>
      <c r="E1866" s="2"/>
    </row>
    <row r="1867" spans="1:5">
      <c r="A1867" s="8" t="str">
        <f t="shared" ca="1" si="30"/>
        <v/>
      </c>
      <c r="B1867" s="12"/>
      <c r="C1867" s="4"/>
      <c r="D1867" s="11"/>
      <c r="E1867" s="2"/>
    </row>
    <row r="1868" spans="1:5">
      <c r="A1868" s="8" t="str">
        <f t="shared" ca="1" si="30"/>
        <v/>
      </c>
      <c r="B1868" s="12"/>
      <c r="C1868" s="4"/>
      <c r="D1868" s="11"/>
      <c r="E1868" s="2"/>
    </row>
    <row r="1869" spans="1:5">
      <c r="A1869" s="8" t="str">
        <f t="shared" ca="1" si="30"/>
        <v/>
      </c>
      <c r="B1869" s="12"/>
      <c r="C1869" s="4"/>
      <c r="D1869" s="11"/>
      <c r="E1869" s="2"/>
    </row>
    <row r="1870" spans="1:5">
      <c r="A1870" s="8" t="str">
        <f t="shared" ca="1" si="30"/>
        <v/>
      </c>
      <c r="B1870" s="12"/>
      <c r="C1870" s="4"/>
      <c r="D1870" s="11"/>
      <c r="E1870" s="2"/>
    </row>
    <row r="1871" spans="1:5">
      <c r="A1871" s="8" t="str">
        <f t="shared" ca="1" si="30"/>
        <v/>
      </c>
      <c r="B1871" s="12"/>
      <c r="C1871" s="4"/>
      <c r="D1871" s="11"/>
      <c r="E1871" s="2"/>
    </row>
    <row r="1872" spans="1:5">
      <c r="A1872" s="8" t="str">
        <f t="shared" ca="1" si="30"/>
        <v/>
      </c>
      <c r="B1872" s="12"/>
      <c r="C1872" s="4"/>
      <c r="D1872" s="11"/>
      <c r="E1872" s="2"/>
    </row>
    <row r="1873" spans="1:5">
      <c r="A1873" s="8" t="str">
        <f t="shared" ca="1" si="30"/>
        <v/>
      </c>
      <c r="B1873" s="12"/>
      <c r="C1873" s="4"/>
      <c r="D1873" s="11"/>
      <c r="E1873" s="2"/>
    </row>
    <row r="1874" spans="1:5">
      <c r="A1874" s="8" t="str">
        <f t="shared" ca="1" si="30"/>
        <v/>
      </c>
      <c r="B1874" s="12"/>
      <c r="C1874" s="4"/>
      <c r="D1874" s="11"/>
      <c r="E1874" s="2"/>
    </row>
    <row r="1875" spans="1:5">
      <c r="A1875" s="8" t="str">
        <f t="shared" ca="1" si="30"/>
        <v/>
      </c>
      <c r="B1875" s="12"/>
      <c r="C1875" s="4"/>
      <c r="D1875" s="11"/>
      <c r="E1875" s="2"/>
    </row>
    <row r="1876" spans="1:5">
      <c r="A1876" s="8" t="str">
        <f t="shared" ca="1" si="30"/>
        <v/>
      </c>
      <c r="B1876" s="12"/>
      <c r="C1876" s="4"/>
      <c r="D1876" s="11"/>
      <c r="E1876" s="2"/>
    </row>
    <row r="1877" spans="1:5">
      <c r="A1877" s="8" t="str">
        <f t="shared" ca="1" si="30"/>
        <v/>
      </c>
      <c r="B1877" s="12"/>
      <c r="C1877" s="4"/>
      <c r="D1877" s="11"/>
      <c r="E1877" s="2"/>
    </row>
    <row r="1878" spans="1:5">
      <c r="A1878" s="8" t="str">
        <f t="shared" ca="1" si="30"/>
        <v/>
      </c>
      <c r="B1878" s="12"/>
      <c r="C1878" s="4"/>
      <c r="D1878" s="11"/>
      <c r="E1878" s="2"/>
    </row>
    <row r="1879" spans="1:5">
      <c r="A1879" s="8" t="str">
        <f t="shared" ca="1" si="30"/>
        <v/>
      </c>
      <c r="B1879" s="12"/>
      <c r="C1879" s="4"/>
      <c r="D1879" s="11"/>
      <c r="E1879" s="2"/>
    </row>
    <row r="1880" spans="1:5">
      <c r="A1880" s="8" t="str">
        <f t="shared" ca="1" si="30"/>
        <v/>
      </c>
      <c r="B1880" s="12"/>
      <c r="C1880" s="4"/>
      <c r="D1880" s="11"/>
      <c r="E1880" s="2"/>
    </row>
    <row r="1881" spans="1:5">
      <c r="A1881" s="8" t="str">
        <f t="shared" ca="1" si="30"/>
        <v/>
      </c>
      <c r="B1881" s="12"/>
      <c r="C1881" s="4"/>
      <c r="D1881" s="11"/>
      <c r="E1881" s="2"/>
    </row>
    <row r="1882" spans="1:5">
      <c r="A1882" s="8" t="str">
        <f t="shared" ca="1" si="30"/>
        <v/>
      </c>
      <c r="B1882" s="12"/>
      <c r="C1882" s="4"/>
      <c r="D1882" s="11"/>
      <c r="E1882" s="2"/>
    </row>
    <row r="1883" spans="1:5">
      <c r="A1883" s="8" t="str">
        <f t="shared" ca="1" si="30"/>
        <v/>
      </c>
      <c r="B1883" s="12"/>
      <c r="C1883" s="4"/>
      <c r="D1883" s="11"/>
      <c r="E1883" s="2"/>
    </row>
    <row r="1884" spans="1:5">
      <c r="A1884" s="8" t="str">
        <f t="shared" ca="1" si="30"/>
        <v/>
      </c>
      <c r="B1884" s="12"/>
      <c r="C1884" s="4"/>
      <c r="D1884" s="11"/>
      <c r="E1884" s="2"/>
    </row>
    <row r="1885" spans="1:5">
      <c r="A1885" s="8" t="str">
        <f t="shared" ca="1" si="30"/>
        <v/>
      </c>
      <c r="B1885" s="12"/>
      <c r="C1885" s="4"/>
      <c r="D1885" s="11"/>
      <c r="E1885" s="2"/>
    </row>
    <row r="1886" spans="1:5">
      <c r="A1886" s="8" t="str">
        <f t="shared" ca="1" si="30"/>
        <v/>
      </c>
      <c r="B1886" s="12"/>
      <c r="C1886" s="4"/>
      <c r="D1886" s="11"/>
      <c r="E1886" s="2"/>
    </row>
    <row r="1887" spans="1:5">
      <c r="A1887" s="8" t="str">
        <f t="shared" ca="1" si="30"/>
        <v/>
      </c>
      <c r="B1887" s="12"/>
      <c r="C1887" s="4"/>
      <c r="D1887" s="11"/>
      <c r="E1887" s="2"/>
    </row>
    <row r="1888" spans="1:5">
      <c r="A1888" s="8" t="str">
        <f t="shared" ca="1" si="30"/>
        <v/>
      </c>
      <c r="B1888" s="12"/>
      <c r="C1888" s="4"/>
      <c r="D1888" s="11"/>
      <c r="E1888" s="2"/>
    </row>
    <row r="1889" spans="1:5">
      <c r="A1889" s="8" t="str">
        <f t="shared" ca="1" si="30"/>
        <v/>
      </c>
      <c r="B1889" s="12"/>
      <c r="C1889" s="4"/>
      <c r="D1889" s="11"/>
      <c r="E1889" s="2"/>
    </row>
    <row r="1890" spans="1:5">
      <c r="A1890" s="8" t="str">
        <f t="shared" ca="1" si="30"/>
        <v/>
      </c>
      <c r="B1890" s="12"/>
      <c r="C1890" s="4"/>
      <c r="D1890" s="11"/>
      <c r="E1890" s="2"/>
    </row>
    <row r="1891" spans="1:5">
      <c r="A1891" s="8" t="str">
        <f t="shared" ca="1" si="30"/>
        <v/>
      </c>
      <c r="B1891" s="12"/>
      <c r="C1891" s="4"/>
      <c r="D1891" s="11"/>
      <c r="E1891" s="2"/>
    </row>
    <row r="1892" spans="1:5">
      <c r="A1892" s="8" t="str">
        <f t="shared" ca="1" si="30"/>
        <v/>
      </c>
      <c r="B1892" s="12"/>
      <c r="C1892" s="4"/>
      <c r="D1892" s="11"/>
      <c r="E1892" s="2"/>
    </row>
    <row r="1893" spans="1:5">
      <c r="A1893" s="8" t="str">
        <f t="shared" ca="1" si="30"/>
        <v/>
      </c>
      <c r="B1893" s="12"/>
      <c r="C1893" s="4"/>
      <c r="D1893" s="11"/>
      <c r="E1893" s="2"/>
    </row>
    <row r="1894" spans="1:5">
      <c r="A1894" s="8" t="str">
        <f t="shared" ca="1" si="30"/>
        <v/>
      </c>
      <c r="B1894" s="12"/>
      <c r="C1894" s="4"/>
      <c r="D1894" s="11"/>
      <c r="E1894" s="2"/>
    </row>
    <row r="1895" spans="1:5">
      <c r="A1895" s="8" t="str">
        <f t="shared" ca="1" si="30"/>
        <v/>
      </c>
      <c r="B1895" s="12"/>
      <c r="C1895" s="4"/>
      <c r="D1895" s="11"/>
      <c r="E1895" s="2"/>
    </row>
    <row r="1896" spans="1:5">
      <c r="A1896" s="8" t="str">
        <f t="shared" ca="1" si="30"/>
        <v/>
      </c>
      <c r="B1896" s="12"/>
      <c r="C1896" s="4"/>
      <c r="D1896" s="11"/>
      <c r="E1896" s="2"/>
    </row>
    <row r="1897" spans="1:5">
      <c r="A1897" s="8" t="str">
        <f t="shared" ca="1" si="30"/>
        <v/>
      </c>
      <c r="B1897" s="12"/>
      <c r="C1897" s="4"/>
      <c r="D1897" s="11"/>
      <c r="E1897" s="2"/>
    </row>
    <row r="1898" spans="1:5">
      <c r="A1898" s="8" t="str">
        <f t="shared" ca="1" si="30"/>
        <v/>
      </c>
      <c r="B1898" s="12"/>
      <c r="C1898" s="4"/>
      <c r="D1898" s="11"/>
      <c r="E1898" s="2"/>
    </row>
    <row r="1899" spans="1:5">
      <c r="A1899" s="8" t="str">
        <f t="shared" ca="1" si="30"/>
        <v/>
      </c>
      <c r="B1899" s="12"/>
      <c r="C1899" s="4"/>
      <c r="D1899" s="11"/>
      <c r="E1899" s="2"/>
    </row>
    <row r="1900" spans="1:5">
      <c r="A1900" s="8" t="str">
        <f t="shared" ca="1" si="30"/>
        <v/>
      </c>
      <c r="B1900" s="12"/>
      <c r="C1900" s="4"/>
      <c r="D1900" s="11"/>
      <c r="E1900" s="2"/>
    </row>
    <row r="1901" spans="1:5">
      <c r="A1901" s="8" t="str">
        <f t="shared" ca="1" si="30"/>
        <v/>
      </c>
      <c r="B1901" s="12"/>
      <c r="C1901" s="4"/>
      <c r="D1901" s="11"/>
      <c r="E1901" s="2"/>
    </row>
    <row r="1902" spans="1:5">
      <c r="A1902" s="8" t="str">
        <f t="shared" ca="1" si="30"/>
        <v/>
      </c>
      <c r="B1902" s="12"/>
      <c r="C1902" s="4"/>
      <c r="D1902" s="11"/>
      <c r="E1902" s="2"/>
    </row>
    <row r="1903" spans="1:5">
      <c r="A1903" s="8" t="str">
        <f t="shared" ca="1" si="30"/>
        <v/>
      </c>
      <c r="B1903" s="12"/>
      <c r="C1903" s="4"/>
      <c r="D1903" s="11"/>
      <c r="E1903" s="2"/>
    </row>
    <row r="1904" spans="1:5">
      <c r="A1904" s="8" t="str">
        <f t="shared" ca="1" si="30"/>
        <v/>
      </c>
      <c r="B1904" s="12"/>
      <c r="C1904" s="4"/>
      <c r="D1904" s="11"/>
      <c r="E1904" s="2"/>
    </row>
    <row r="1905" spans="1:5">
      <c r="A1905" s="8" t="str">
        <f t="shared" ca="1" si="30"/>
        <v/>
      </c>
      <c r="B1905" s="12"/>
      <c r="C1905" s="4"/>
      <c r="D1905" s="11"/>
      <c r="E1905" s="2"/>
    </row>
    <row r="1906" spans="1:5">
      <c r="A1906" s="8" t="str">
        <f t="shared" ca="1" si="30"/>
        <v/>
      </c>
      <c r="B1906" s="12"/>
      <c r="C1906" s="4"/>
      <c r="D1906" s="11"/>
      <c r="E1906" s="2"/>
    </row>
    <row r="1907" spans="1:5">
      <c r="A1907" s="8" t="str">
        <f t="shared" ca="1" si="30"/>
        <v/>
      </c>
      <c r="B1907" s="12"/>
      <c r="C1907" s="4"/>
      <c r="D1907" s="11"/>
      <c r="E1907" s="2"/>
    </row>
    <row r="1908" spans="1:5">
      <c r="A1908" s="8" t="str">
        <f t="shared" ca="1" si="30"/>
        <v/>
      </c>
      <c r="B1908" s="12"/>
      <c r="C1908" s="4"/>
      <c r="D1908" s="11"/>
      <c r="E1908" s="2"/>
    </row>
    <row r="1909" spans="1:5">
      <c r="A1909" s="8" t="str">
        <f t="shared" ca="1" si="30"/>
        <v/>
      </c>
      <c r="B1909" s="12"/>
      <c r="C1909" s="4"/>
      <c r="D1909" s="11"/>
      <c r="E1909" s="2"/>
    </row>
    <row r="1910" spans="1:5">
      <c r="A1910" s="8" t="str">
        <f t="shared" ca="1" si="30"/>
        <v/>
      </c>
      <c r="B1910" s="12"/>
      <c r="C1910" s="4"/>
      <c r="D1910" s="11"/>
      <c r="E1910" s="2"/>
    </row>
    <row r="1911" spans="1:5">
      <c r="A1911" s="8" t="str">
        <f t="shared" ca="1" si="30"/>
        <v/>
      </c>
      <c r="B1911" s="12"/>
      <c r="C1911" s="4"/>
      <c r="D1911" s="11"/>
      <c r="E1911" s="2"/>
    </row>
    <row r="1912" spans="1:5">
      <c r="A1912" s="8" t="str">
        <f t="shared" ca="1" si="30"/>
        <v/>
      </c>
      <c r="B1912" s="12"/>
      <c r="C1912" s="4"/>
      <c r="D1912" s="11"/>
      <c r="E1912" s="2"/>
    </row>
    <row r="1913" spans="1:5">
      <c r="A1913" s="8" t="str">
        <f t="shared" ca="1" si="30"/>
        <v/>
      </c>
      <c r="B1913" s="12"/>
      <c r="C1913" s="4"/>
      <c r="D1913" s="11"/>
      <c r="E1913" s="2"/>
    </row>
    <row r="1914" spans="1:5">
      <c r="A1914" s="8" t="str">
        <f t="shared" ca="1" si="30"/>
        <v/>
      </c>
      <c r="B1914" s="12"/>
      <c r="C1914" s="4"/>
      <c r="D1914" s="11"/>
      <c r="E1914" s="2"/>
    </row>
    <row r="1915" spans="1:5">
      <c r="A1915" s="8" t="str">
        <f t="shared" ca="1" si="30"/>
        <v/>
      </c>
      <c r="B1915" s="12"/>
      <c r="C1915" s="4"/>
      <c r="D1915" s="11"/>
      <c r="E1915" s="2"/>
    </row>
    <row r="1916" spans="1:5">
      <c r="A1916" s="8" t="str">
        <f t="shared" ca="1" si="30"/>
        <v/>
      </c>
      <c r="B1916" s="12"/>
      <c r="C1916" s="4"/>
      <c r="D1916" s="11"/>
      <c r="E1916" s="2"/>
    </row>
    <row r="1917" spans="1:5">
      <c r="A1917" s="8" t="str">
        <f t="shared" ca="1" si="30"/>
        <v/>
      </c>
      <c r="B1917" s="12"/>
      <c r="C1917" s="4"/>
      <c r="D1917" s="11"/>
      <c r="E1917" s="2"/>
    </row>
    <row r="1918" spans="1:5">
      <c r="A1918" s="8" t="str">
        <f t="shared" ca="1" si="30"/>
        <v/>
      </c>
      <c r="B1918" s="12"/>
      <c r="C1918" s="4"/>
      <c r="D1918" s="11"/>
      <c r="E1918" s="2"/>
    </row>
    <row r="1919" spans="1:5">
      <c r="A1919" s="8" t="str">
        <f t="shared" ca="1" si="30"/>
        <v/>
      </c>
      <c r="B1919" s="12"/>
      <c r="C1919" s="4"/>
      <c r="D1919" s="11"/>
      <c r="E1919" s="2"/>
    </row>
    <row r="1920" spans="1:5">
      <c r="A1920" s="8" t="str">
        <f t="shared" ca="1" si="30"/>
        <v/>
      </c>
      <c r="B1920" s="12"/>
      <c r="C1920" s="4"/>
      <c r="D1920" s="11"/>
      <c r="E1920" s="2"/>
    </row>
    <row r="1921" spans="1:5">
      <c r="A1921" s="8" t="str">
        <f t="shared" ca="1" si="30"/>
        <v/>
      </c>
      <c r="B1921" s="12"/>
      <c r="C1921" s="4"/>
      <c r="D1921" s="11"/>
      <c r="E1921" s="2"/>
    </row>
    <row r="1922" spans="1:5">
      <c r="A1922" s="8" t="str">
        <f t="shared" ca="1" si="30"/>
        <v/>
      </c>
      <c r="B1922" s="12"/>
      <c r="C1922" s="4"/>
      <c r="D1922" s="11"/>
      <c r="E1922" s="2"/>
    </row>
    <row r="1923" spans="1:5">
      <c r="A1923" s="8" t="str">
        <f t="shared" ca="1" si="30"/>
        <v/>
      </c>
      <c r="B1923" s="12"/>
      <c r="C1923" s="4"/>
      <c r="D1923" s="11"/>
      <c r="E1923" s="2"/>
    </row>
    <row r="1924" spans="1:5">
      <c r="A1924" s="8" t="str">
        <f t="shared" ca="1" si="30"/>
        <v/>
      </c>
      <c r="B1924" s="12"/>
      <c r="C1924" s="4"/>
      <c r="D1924" s="11"/>
      <c r="E1924" s="2"/>
    </row>
    <row r="1925" spans="1:5">
      <c r="A1925" s="8" t="str">
        <f t="shared" ca="1" si="30"/>
        <v/>
      </c>
      <c r="B1925" s="12"/>
      <c r="C1925" s="4"/>
      <c r="D1925" s="11"/>
      <c r="E1925" s="2"/>
    </row>
    <row r="1926" spans="1:5">
      <c r="A1926" s="8" t="str">
        <f t="shared" ca="1" si="30"/>
        <v/>
      </c>
      <c r="B1926" s="12"/>
      <c r="C1926" s="4"/>
      <c r="D1926" s="11"/>
      <c r="E1926" s="2"/>
    </row>
    <row r="1927" spans="1:5">
      <c r="A1927" s="8" t="str">
        <f t="shared" ca="1" si="30"/>
        <v/>
      </c>
      <c r="B1927" s="12"/>
      <c r="C1927" s="4"/>
      <c r="D1927" s="11"/>
      <c r="E1927" s="2"/>
    </row>
    <row r="1928" spans="1:5">
      <c r="A1928" s="8" t="str">
        <f t="shared" ca="1" si="30"/>
        <v/>
      </c>
      <c r="B1928" s="12"/>
      <c r="C1928" s="4"/>
      <c r="D1928" s="11"/>
      <c r="E1928" s="2"/>
    </row>
    <row r="1929" spans="1:5">
      <c r="A1929" s="8" t="str">
        <f t="shared" ca="1" si="30"/>
        <v/>
      </c>
      <c r="B1929" s="12"/>
      <c r="C1929" s="4"/>
      <c r="D1929" s="11"/>
      <c r="E1929" s="2"/>
    </row>
    <row r="1930" spans="1:5">
      <c r="A1930" s="8" t="str">
        <f t="shared" ref="A1930:A1993" ca="1" si="31">IF(B1930="","",IF(A1930="",TODAY(),A1930))</f>
        <v/>
      </c>
      <c r="B1930" s="12"/>
      <c r="C1930" s="4"/>
      <c r="D1930" s="11"/>
      <c r="E1930" s="2"/>
    </row>
    <row r="1931" spans="1:5">
      <c r="A1931" s="8" t="str">
        <f t="shared" ca="1" si="31"/>
        <v/>
      </c>
      <c r="B1931" s="12"/>
      <c r="C1931" s="4"/>
      <c r="D1931" s="11"/>
      <c r="E1931" s="2"/>
    </row>
    <row r="1932" spans="1:5">
      <c r="A1932" s="8" t="str">
        <f t="shared" ca="1" si="31"/>
        <v/>
      </c>
      <c r="B1932" s="12"/>
      <c r="C1932" s="4"/>
      <c r="D1932" s="11"/>
      <c r="E1932" s="2"/>
    </row>
    <row r="1933" spans="1:5">
      <c r="A1933" s="8" t="str">
        <f t="shared" ca="1" si="31"/>
        <v/>
      </c>
      <c r="B1933" s="12"/>
      <c r="C1933" s="4"/>
      <c r="D1933" s="11"/>
      <c r="E1933" s="2"/>
    </row>
    <row r="1934" spans="1:5">
      <c r="A1934" s="8" t="str">
        <f t="shared" ca="1" si="31"/>
        <v/>
      </c>
      <c r="B1934" s="12"/>
      <c r="C1934" s="4"/>
      <c r="D1934" s="11"/>
      <c r="E1934" s="2"/>
    </row>
    <row r="1935" spans="1:5">
      <c r="A1935" s="8" t="str">
        <f t="shared" ca="1" si="31"/>
        <v/>
      </c>
      <c r="B1935" s="12"/>
      <c r="C1935" s="4"/>
      <c r="D1935" s="11"/>
      <c r="E1935" s="2"/>
    </row>
    <row r="1936" spans="1:5">
      <c r="A1936" s="8" t="str">
        <f t="shared" ca="1" si="31"/>
        <v/>
      </c>
      <c r="B1936" s="12"/>
      <c r="C1936" s="4"/>
      <c r="D1936" s="11"/>
      <c r="E1936" s="2"/>
    </row>
    <row r="1937" spans="1:5">
      <c r="A1937" s="8" t="str">
        <f t="shared" ca="1" si="31"/>
        <v/>
      </c>
      <c r="B1937" s="12"/>
      <c r="C1937" s="4"/>
      <c r="D1937" s="11"/>
      <c r="E1937" s="2"/>
    </row>
    <row r="1938" spans="1:5">
      <c r="A1938" s="8" t="str">
        <f t="shared" ca="1" si="31"/>
        <v/>
      </c>
      <c r="B1938" s="12"/>
      <c r="C1938" s="4"/>
      <c r="D1938" s="11"/>
      <c r="E1938" s="2"/>
    </row>
    <row r="1939" spans="1:5">
      <c r="A1939" s="8" t="str">
        <f t="shared" ca="1" si="31"/>
        <v/>
      </c>
      <c r="B1939" s="12"/>
      <c r="C1939" s="4"/>
      <c r="D1939" s="11"/>
      <c r="E1939" s="2"/>
    </row>
    <row r="1940" spans="1:5">
      <c r="A1940" s="8" t="str">
        <f t="shared" ca="1" si="31"/>
        <v/>
      </c>
      <c r="B1940" s="12"/>
      <c r="C1940" s="4"/>
      <c r="D1940" s="11"/>
      <c r="E1940" s="2"/>
    </row>
    <row r="1941" spans="1:5">
      <c r="A1941" s="8" t="str">
        <f t="shared" ca="1" si="31"/>
        <v/>
      </c>
      <c r="B1941" s="12"/>
      <c r="C1941" s="4"/>
      <c r="D1941" s="11"/>
      <c r="E1941" s="2"/>
    </row>
    <row r="1942" spans="1:5">
      <c r="A1942" s="8" t="str">
        <f t="shared" ca="1" si="31"/>
        <v/>
      </c>
      <c r="B1942" s="12"/>
      <c r="C1942" s="4"/>
      <c r="D1942" s="11"/>
      <c r="E1942" s="2"/>
    </row>
    <row r="1943" spans="1:5">
      <c r="A1943" s="8" t="str">
        <f t="shared" ca="1" si="31"/>
        <v/>
      </c>
      <c r="B1943" s="12"/>
      <c r="C1943" s="4"/>
      <c r="D1943" s="11"/>
      <c r="E1943" s="2"/>
    </row>
    <row r="1944" spans="1:5">
      <c r="A1944" s="8" t="str">
        <f t="shared" ca="1" si="31"/>
        <v/>
      </c>
      <c r="B1944" s="12"/>
      <c r="C1944" s="4"/>
      <c r="D1944" s="11"/>
      <c r="E1944" s="2"/>
    </row>
    <row r="1945" spans="1:5">
      <c r="A1945" s="8" t="str">
        <f t="shared" ca="1" si="31"/>
        <v/>
      </c>
      <c r="B1945" s="12"/>
      <c r="C1945" s="4"/>
      <c r="D1945" s="11"/>
      <c r="E1945" s="2"/>
    </row>
    <row r="1946" spans="1:5">
      <c r="A1946" s="8" t="str">
        <f t="shared" ca="1" si="31"/>
        <v/>
      </c>
      <c r="B1946" s="12"/>
      <c r="C1946" s="4"/>
      <c r="D1946" s="11"/>
      <c r="E1946" s="2"/>
    </row>
    <row r="1947" spans="1:5">
      <c r="A1947" s="8" t="str">
        <f t="shared" ca="1" si="31"/>
        <v/>
      </c>
      <c r="B1947" s="12"/>
      <c r="C1947" s="4"/>
      <c r="D1947" s="11"/>
      <c r="E1947" s="2"/>
    </row>
    <row r="1948" spans="1:5">
      <c r="A1948" s="8" t="str">
        <f t="shared" ca="1" si="31"/>
        <v/>
      </c>
      <c r="B1948" s="12"/>
      <c r="C1948" s="4"/>
      <c r="D1948" s="11"/>
      <c r="E1948" s="2"/>
    </row>
    <row r="1949" spans="1:5">
      <c r="A1949" s="8" t="str">
        <f t="shared" ca="1" si="31"/>
        <v/>
      </c>
      <c r="B1949" s="12"/>
      <c r="C1949" s="4"/>
      <c r="D1949" s="11"/>
      <c r="E1949" s="2"/>
    </row>
    <row r="1950" spans="1:5">
      <c r="A1950" s="8" t="str">
        <f t="shared" ca="1" si="31"/>
        <v/>
      </c>
      <c r="B1950" s="12"/>
      <c r="C1950" s="4"/>
      <c r="D1950" s="11"/>
      <c r="E1950" s="2"/>
    </row>
    <row r="1951" spans="1:5">
      <c r="A1951" s="8" t="str">
        <f t="shared" ca="1" si="31"/>
        <v/>
      </c>
      <c r="B1951" s="12"/>
      <c r="C1951" s="4"/>
      <c r="D1951" s="11"/>
      <c r="E1951" s="2"/>
    </row>
    <row r="1952" spans="1:5">
      <c r="A1952" s="8" t="str">
        <f t="shared" ca="1" si="31"/>
        <v/>
      </c>
      <c r="B1952" s="12"/>
      <c r="C1952" s="4"/>
      <c r="D1952" s="11"/>
      <c r="E1952" s="2"/>
    </row>
    <row r="1953" spans="1:5">
      <c r="A1953" s="8" t="str">
        <f t="shared" ca="1" si="31"/>
        <v/>
      </c>
      <c r="B1953" s="12"/>
      <c r="C1953" s="4"/>
      <c r="D1953" s="11"/>
      <c r="E1953" s="2"/>
    </row>
    <row r="1954" spans="1:5">
      <c r="A1954" s="8" t="str">
        <f t="shared" ca="1" si="31"/>
        <v/>
      </c>
      <c r="B1954" s="12"/>
      <c r="C1954" s="4"/>
      <c r="D1954" s="11"/>
      <c r="E1954" s="2"/>
    </row>
    <row r="1955" spans="1:5">
      <c r="A1955" s="8" t="str">
        <f t="shared" ca="1" si="31"/>
        <v/>
      </c>
      <c r="B1955" s="12"/>
      <c r="C1955" s="4"/>
      <c r="D1955" s="11"/>
      <c r="E1955" s="2"/>
    </row>
    <row r="1956" spans="1:5">
      <c r="A1956" s="8" t="str">
        <f t="shared" ca="1" si="31"/>
        <v/>
      </c>
      <c r="B1956" s="12"/>
      <c r="C1956" s="4"/>
      <c r="D1956" s="11"/>
      <c r="E1956" s="2"/>
    </row>
    <row r="1957" spans="1:5">
      <c r="A1957" s="8" t="str">
        <f t="shared" ca="1" si="31"/>
        <v/>
      </c>
      <c r="B1957" s="12"/>
      <c r="C1957" s="4"/>
      <c r="D1957" s="11"/>
      <c r="E1957" s="2"/>
    </row>
    <row r="1958" spans="1:5">
      <c r="A1958" s="8" t="str">
        <f t="shared" ca="1" si="31"/>
        <v/>
      </c>
      <c r="B1958" s="12"/>
      <c r="C1958" s="4"/>
      <c r="D1958" s="11"/>
      <c r="E1958" s="2"/>
    </row>
    <row r="1959" spans="1:5">
      <c r="A1959" s="8" t="str">
        <f t="shared" ca="1" si="31"/>
        <v/>
      </c>
      <c r="B1959" s="12"/>
      <c r="C1959" s="4"/>
      <c r="D1959" s="11"/>
      <c r="E1959" s="2"/>
    </row>
    <row r="1960" spans="1:5">
      <c r="A1960" s="8" t="str">
        <f t="shared" ca="1" si="31"/>
        <v/>
      </c>
      <c r="B1960" s="12"/>
      <c r="C1960" s="4"/>
      <c r="D1960" s="11"/>
      <c r="E1960" s="2"/>
    </row>
    <row r="1961" spans="1:5">
      <c r="A1961" s="8" t="str">
        <f t="shared" ca="1" si="31"/>
        <v/>
      </c>
      <c r="B1961" s="12"/>
      <c r="C1961" s="4"/>
      <c r="D1961" s="11"/>
      <c r="E1961" s="2"/>
    </row>
    <row r="1962" spans="1:5">
      <c r="A1962" s="8" t="str">
        <f t="shared" ca="1" si="31"/>
        <v/>
      </c>
      <c r="B1962" s="12"/>
      <c r="C1962" s="4"/>
      <c r="D1962" s="11"/>
      <c r="E1962" s="2"/>
    </row>
    <row r="1963" spans="1:5">
      <c r="A1963" s="8" t="str">
        <f t="shared" ca="1" si="31"/>
        <v/>
      </c>
      <c r="B1963" s="12"/>
      <c r="C1963" s="4"/>
      <c r="D1963" s="11"/>
      <c r="E1963" s="2"/>
    </row>
    <row r="1964" spans="1:5">
      <c r="A1964" s="8" t="str">
        <f t="shared" ca="1" si="31"/>
        <v/>
      </c>
      <c r="B1964" s="12"/>
      <c r="C1964" s="4"/>
      <c r="D1964" s="11"/>
      <c r="E1964" s="2"/>
    </row>
    <row r="1965" spans="1:5">
      <c r="A1965" s="8" t="str">
        <f t="shared" ca="1" si="31"/>
        <v/>
      </c>
      <c r="B1965" s="12"/>
      <c r="C1965" s="4"/>
      <c r="D1965" s="11"/>
      <c r="E1965" s="2"/>
    </row>
    <row r="1966" spans="1:5">
      <c r="A1966" s="8" t="str">
        <f t="shared" ca="1" si="31"/>
        <v/>
      </c>
      <c r="B1966" s="12"/>
      <c r="C1966" s="4"/>
      <c r="D1966" s="11"/>
      <c r="E1966" s="2"/>
    </row>
    <row r="1967" spans="1:5">
      <c r="A1967" s="8" t="str">
        <f t="shared" ca="1" si="31"/>
        <v/>
      </c>
      <c r="B1967" s="12"/>
      <c r="C1967" s="4"/>
      <c r="D1967" s="11"/>
      <c r="E1967" s="2"/>
    </row>
    <row r="1968" spans="1:5">
      <c r="A1968" s="8" t="str">
        <f t="shared" ca="1" si="31"/>
        <v/>
      </c>
      <c r="B1968" s="12"/>
      <c r="C1968" s="4"/>
      <c r="D1968" s="11"/>
      <c r="E1968" s="2"/>
    </row>
    <row r="1969" spans="1:5">
      <c r="A1969" s="8" t="str">
        <f t="shared" ca="1" si="31"/>
        <v/>
      </c>
      <c r="B1969" s="12"/>
      <c r="C1969" s="4"/>
      <c r="D1969" s="11"/>
      <c r="E1969" s="2"/>
    </row>
    <row r="1970" spans="1:5">
      <c r="A1970" s="8" t="str">
        <f t="shared" ca="1" si="31"/>
        <v/>
      </c>
      <c r="B1970" s="12"/>
      <c r="C1970" s="4"/>
      <c r="D1970" s="11"/>
      <c r="E1970" s="2"/>
    </row>
    <row r="1971" spans="1:5">
      <c r="A1971" s="8" t="str">
        <f t="shared" ca="1" si="31"/>
        <v/>
      </c>
      <c r="B1971" s="12"/>
      <c r="C1971" s="4"/>
      <c r="D1971" s="11"/>
      <c r="E1971" s="2"/>
    </row>
    <row r="1972" spans="1:5">
      <c r="A1972" s="8" t="str">
        <f t="shared" ca="1" si="31"/>
        <v/>
      </c>
      <c r="B1972" s="12"/>
      <c r="C1972" s="4"/>
      <c r="D1972" s="11"/>
      <c r="E1972" s="2"/>
    </row>
    <row r="1973" spans="1:5">
      <c r="A1973" s="8" t="str">
        <f t="shared" ca="1" si="31"/>
        <v/>
      </c>
      <c r="B1973" s="12"/>
      <c r="C1973" s="4"/>
      <c r="D1973" s="11"/>
      <c r="E1973" s="2"/>
    </row>
    <row r="1974" spans="1:5">
      <c r="A1974" s="8" t="str">
        <f t="shared" ca="1" si="31"/>
        <v/>
      </c>
      <c r="B1974" s="12"/>
      <c r="C1974" s="4"/>
      <c r="D1974" s="11"/>
      <c r="E1974" s="2"/>
    </row>
    <row r="1975" spans="1:5">
      <c r="A1975" s="8" t="str">
        <f t="shared" ca="1" si="31"/>
        <v/>
      </c>
      <c r="B1975" s="12"/>
      <c r="C1975" s="4"/>
      <c r="D1975" s="11"/>
      <c r="E1975" s="2"/>
    </row>
    <row r="1976" spans="1:5">
      <c r="A1976" s="8" t="str">
        <f t="shared" ca="1" si="31"/>
        <v/>
      </c>
      <c r="B1976" s="12"/>
      <c r="C1976" s="4"/>
      <c r="D1976" s="11"/>
      <c r="E1976" s="2"/>
    </row>
    <row r="1977" spans="1:5">
      <c r="A1977" s="8" t="str">
        <f t="shared" ca="1" si="31"/>
        <v/>
      </c>
      <c r="B1977" s="12"/>
      <c r="C1977" s="4"/>
      <c r="D1977" s="11"/>
      <c r="E1977" s="2"/>
    </row>
    <row r="1978" spans="1:5">
      <c r="A1978" s="8" t="str">
        <f t="shared" ca="1" si="31"/>
        <v/>
      </c>
      <c r="B1978" s="12"/>
      <c r="C1978" s="4"/>
      <c r="D1978" s="11"/>
      <c r="E1978" s="2"/>
    </row>
    <row r="1979" spans="1:5">
      <c r="A1979" s="8" t="str">
        <f t="shared" ca="1" si="31"/>
        <v/>
      </c>
      <c r="B1979" s="12"/>
      <c r="C1979" s="4"/>
      <c r="D1979" s="11"/>
      <c r="E1979" s="2"/>
    </row>
    <row r="1980" spans="1:5">
      <c r="A1980" s="8" t="str">
        <f t="shared" ca="1" si="31"/>
        <v/>
      </c>
      <c r="B1980" s="12"/>
      <c r="C1980" s="4"/>
      <c r="D1980" s="11"/>
      <c r="E1980" s="2"/>
    </row>
    <row r="1981" spans="1:5">
      <c r="A1981" s="8" t="str">
        <f t="shared" ca="1" si="31"/>
        <v/>
      </c>
      <c r="B1981" s="12"/>
      <c r="C1981" s="4"/>
      <c r="D1981" s="11"/>
      <c r="E1981" s="2"/>
    </row>
    <row r="1982" spans="1:5">
      <c r="A1982" s="8" t="str">
        <f t="shared" ca="1" si="31"/>
        <v/>
      </c>
      <c r="B1982" s="12"/>
      <c r="C1982" s="4"/>
      <c r="D1982" s="11"/>
      <c r="E1982" s="2"/>
    </row>
    <row r="1983" spans="1:5">
      <c r="A1983" s="8" t="str">
        <f t="shared" ca="1" si="31"/>
        <v/>
      </c>
      <c r="B1983" s="12"/>
      <c r="C1983" s="4"/>
      <c r="D1983" s="11"/>
      <c r="E1983" s="2"/>
    </row>
    <row r="1984" spans="1:5">
      <c r="A1984" s="8" t="str">
        <f t="shared" ca="1" si="31"/>
        <v/>
      </c>
      <c r="B1984" s="12"/>
      <c r="C1984" s="4"/>
      <c r="D1984" s="11"/>
      <c r="E1984" s="2"/>
    </row>
    <row r="1985" spans="1:5">
      <c r="A1985" s="8" t="str">
        <f t="shared" ca="1" si="31"/>
        <v/>
      </c>
      <c r="B1985" s="12"/>
      <c r="C1985" s="4"/>
      <c r="D1985" s="11"/>
      <c r="E1985" s="2"/>
    </row>
    <row r="1986" spans="1:5">
      <c r="A1986" s="8" t="str">
        <f t="shared" ca="1" si="31"/>
        <v/>
      </c>
      <c r="B1986" s="12"/>
      <c r="C1986" s="4"/>
      <c r="D1986" s="11"/>
      <c r="E1986" s="2"/>
    </row>
    <row r="1987" spans="1:5">
      <c r="A1987" s="8" t="str">
        <f t="shared" ca="1" si="31"/>
        <v/>
      </c>
      <c r="B1987" s="12"/>
      <c r="C1987" s="4"/>
      <c r="D1987" s="11"/>
      <c r="E1987" s="2"/>
    </row>
    <row r="1988" spans="1:5">
      <c r="A1988" s="8" t="str">
        <f t="shared" ca="1" si="31"/>
        <v/>
      </c>
      <c r="B1988" s="12"/>
      <c r="C1988" s="4"/>
      <c r="D1988" s="11"/>
      <c r="E1988" s="2"/>
    </row>
    <row r="1989" spans="1:5">
      <c r="A1989" s="8" t="str">
        <f t="shared" ca="1" si="31"/>
        <v/>
      </c>
      <c r="B1989" s="12"/>
      <c r="C1989" s="4"/>
      <c r="D1989" s="11"/>
      <c r="E1989" s="2"/>
    </row>
    <row r="1990" spans="1:5">
      <c r="A1990" s="8" t="str">
        <f t="shared" ca="1" si="31"/>
        <v/>
      </c>
      <c r="B1990" s="12"/>
      <c r="C1990" s="4"/>
      <c r="D1990" s="11"/>
      <c r="E1990" s="2"/>
    </row>
    <row r="1991" spans="1:5">
      <c r="A1991" s="8" t="str">
        <f t="shared" ca="1" si="31"/>
        <v/>
      </c>
      <c r="B1991" s="12"/>
      <c r="C1991" s="4"/>
      <c r="D1991" s="11"/>
      <c r="E1991" s="2"/>
    </row>
    <row r="1992" spans="1:5">
      <c r="A1992" s="8" t="str">
        <f t="shared" ca="1" si="31"/>
        <v/>
      </c>
      <c r="B1992" s="12"/>
      <c r="C1992" s="4"/>
      <c r="D1992" s="11"/>
      <c r="E1992" s="2"/>
    </row>
    <row r="1993" spans="1:5">
      <c r="A1993" s="8" t="str">
        <f t="shared" ca="1" si="31"/>
        <v/>
      </c>
      <c r="B1993" s="12"/>
      <c r="C1993" s="4"/>
      <c r="D1993" s="11"/>
      <c r="E1993" s="2"/>
    </row>
    <row r="1994" spans="1:5">
      <c r="A1994" s="8" t="str">
        <f t="shared" ref="A1994:A2057" ca="1" si="32">IF(B1994="","",IF(A1994="",TODAY(),A1994))</f>
        <v/>
      </c>
      <c r="B1994" s="12"/>
      <c r="C1994" s="4"/>
      <c r="D1994" s="11"/>
      <c r="E1994" s="2"/>
    </row>
    <row r="1995" spans="1:5">
      <c r="A1995" s="8" t="str">
        <f t="shared" ca="1" si="32"/>
        <v/>
      </c>
      <c r="B1995" s="12"/>
      <c r="C1995" s="4"/>
      <c r="D1995" s="11"/>
      <c r="E1995" s="2"/>
    </row>
    <row r="1996" spans="1:5">
      <c r="A1996" s="8" t="str">
        <f t="shared" ca="1" si="32"/>
        <v/>
      </c>
      <c r="B1996" s="12"/>
      <c r="C1996" s="4"/>
      <c r="D1996" s="11"/>
      <c r="E1996" s="2"/>
    </row>
    <row r="1997" spans="1:5">
      <c r="A1997" s="8" t="str">
        <f t="shared" ca="1" si="32"/>
        <v/>
      </c>
      <c r="B1997" s="12"/>
      <c r="C1997" s="4"/>
      <c r="D1997" s="11"/>
      <c r="E1997" s="2"/>
    </row>
    <row r="1998" spans="1:5">
      <c r="A1998" s="8" t="str">
        <f t="shared" ca="1" si="32"/>
        <v/>
      </c>
      <c r="B1998" s="12"/>
      <c r="C1998" s="4"/>
      <c r="D1998" s="11"/>
      <c r="E1998" s="2"/>
    </row>
    <row r="1999" spans="1:5">
      <c r="A1999" s="8" t="str">
        <f t="shared" ca="1" si="32"/>
        <v/>
      </c>
      <c r="B1999" s="12"/>
      <c r="C1999" s="4"/>
      <c r="D1999" s="11"/>
      <c r="E1999" s="2"/>
    </row>
    <row r="2000" spans="1:5">
      <c r="A2000" s="8" t="str">
        <f t="shared" ca="1" si="32"/>
        <v/>
      </c>
      <c r="B2000" s="12"/>
      <c r="C2000" s="4"/>
      <c r="D2000" s="11"/>
      <c r="E2000" s="2"/>
    </row>
    <row r="2001" spans="1:5">
      <c r="A2001" s="8" t="str">
        <f t="shared" ca="1" si="32"/>
        <v/>
      </c>
      <c r="B2001" s="12"/>
      <c r="C2001" s="4"/>
      <c r="D2001" s="11"/>
      <c r="E2001" s="2"/>
    </row>
    <row r="2002" spans="1:5">
      <c r="A2002" s="8" t="str">
        <f t="shared" ca="1" si="32"/>
        <v/>
      </c>
      <c r="B2002" s="12"/>
      <c r="C2002" s="4"/>
      <c r="D2002" s="11"/>
      <c r="E2002" s="2"/>
    </row>
    <row r="2003" spans="1:5">
      <c r="A2003" s="8" t="str">
        <f t="shared" ca="1" si="32"/>
        <v/>
      </c>
      <c r="B2003" s="12"/>
      <c r="C2003" s="4"/>
      <c r="D2003" s="11"/>
      <c r="E2003" s="2"/>
    </row>
    <row r="2004" spans="1:5">
      <c r="A2004" s="8" t="str">
        <f t="shared" ca="1" si="32"/>
        <v/>
      </c>
      <c r="B2004" s="12"/>
      <c r="C2004" s="4"/>
      <c r="D2004" s="11"/>
      <c r="E2004" s="2"/>
    </row>
    <row r="2005" spans="1:5">
      <c r="A2005" s="8" t="str">
        <f t="shared" ca="1" si="32"/>
        <v/>
      </c>
      <c r="B2005" s="12"/>
      <c r="C2005" s="4"/>
      <c r="D2005" s="11"/>
      <c r="E2005" s="2"/>
    </row>
    <row r="2006" spans="1:5">
      <c r="A2006" s="8" t="str">
        <f t="shared" ca="1" si="32"/>
        <v/>
      </c>
      <c r="B2006" s="12"/>
      <c r="C2006" s="4"/>
      <c r="D2006" s="11"/>
      <c r="E2006" s="2"/>
    </row>
    <row r="2007" spans="1:5">
      <c r="A2007" s="8" t="str">
        <f t="shared" ca="1" si="32"/>
        <v/>
      </c>
      <c r="B2007" s="12"/>
      <c r="C2007" s="4"/>
      <c r="D2007" s="11"/>
      <c r="E2007" s="2"/>
    </row>
    <row r="2008" spans="1:5">
      <c r="A2008" s="8" t="str">
        <f t="shared" ca="1" si="32"/>
        <v/>
      </c>
      <c r="B2008" s="12"/>
      <c r="C2008" s="4"/>
      <c r="D2008" s="11"/>
      <c r="E2008" s="2"/>
    </row>
    <row r="2009" spans="1:5">
      <c r="A2009" s="8" t="str">
        <f t="shared" ca="1" si="32"/>
        <v/>
      </c>
      <c r="B2009" s="12"/>
      <c r="C2009" s="4"/>
      <c r="D2009" s="11"/>
      <c r="E2009" s="2"/>
    </row>
    <row r="2010" spans="1:5">
      <c r="A2010" s="8" t="str">
        <f t="shared" ca="1" si="32"/>
        <v/>
      </c>
      <c r="B2010" s="12"/>
      <c r="C2010" s="4"/>
      <c r="D2010" s="11"/>
      <c r="E2010" s="2"/>
    </row>
    <row r="2011" spans="1:5">
      <c r="A2011" s="8" t="str">
        <f t="shared" ca="1" si="32"/>
        <v/>
      </c>
      <c r="B2011" s="12"/>
      <c r="C2011" s="4"/>
      <c r="D2011" s="11"/>
      <c r="E2011" s="2"/>
    </row>
    <row r="2012" spans="1:5">
      <c r="A2012" s="8" t="str">
        <f t="shared" ca="1" si="32"/>
        <v/>
      </c>
      <c r="B2012" s="12"/>
      <c r="C2012" s="4"/>
      <c r="D2012" s="11"/>
      <c r="E2012" s="2"/>
    </row>
    <row r="2013" spans="1:5">
      <c r="A2013" s="8" t="str">
        <f t="shared" ca="1" si="32"/>
        <v/>
      </c>
      <c r="B2013" s="12"/>
      <c r="C2013" s="4"/>
      <c r="D2013" s="11"/>
      <c r="E2013" s="2"/>
    </row>
    <row r="2014" spans="1:5">
      <c r="A2014" s="8" t="str">
        <f t="shared" ca="1" si="32"/>
        <v/>
      </c>
      <c r="B2014" s="12"/>
      <c r="C2014" s="4"/>
      <c r="D2014" s="11"/>
      <c r="E2014" s="2"/>
    </row>
    <row r="2015" spans="1:5">
      <c r="A2015" s="8" t="str">
        <f t="shared" ca="1" si="32"/>
        <v/>
      </c>
      <c r="B2015" s="12"/>
      <c r="C2015" s="4"/>
      <c r="D2015" s="11"/>
      <c r="E2015" s="2"/>
    </row>
    <row r="2016" spans="1:5">
      <c r="A2016" s="8" t="str">
        <f t="shared" ca="1" si="32"/>
        <v/>
      </c>
      <c r="B2016" s="12"/>
      <c r="C2016" s="4"/>
      <c r="D2016" s="11"/>
      <c r="E2016" s="2"/>
    </row>
    <row r="2017" spans="1:5">
      <c r="A2017" s="8" t="str">
        <f t="shared" ca="1" si="32"/>
        <v/>
      </c>
      <c r="B2017" s="12"/>
      <c r="C2017" s="4"/>
      <c r="D2017" s="11"/>
      <c r="E2017" s="2"/>
    </row>
    <row r="2018" spans="1:5">
      <c r="A2018" s="8" t="str">
        <f t="shared" ca="1" si="32"/>
        <v/>
      </c>
      <c r="B2018" s="12"/>
      <c r="C2018" s="4"/>
      <c r="D2018" s="11"/>
      <c r="E2018" s="2"/>
    </row>
    <row r="2019" spans="1:5">
      <c r="A2019" s="8" t="str">
        <f t="shared" ca="1" si="32"/>
        <v/>
      </c>
      <c r="B2019" s="12"/>
      <c r="C2019" s="4"/>
      <c r="D2019" s="11"/>
      <c r="E2019" s="2"/>
    </row>
    <row r="2020" spans="1:5">
      <c r="A2020" s="8" t="str">
        <f t="shared" ca="1" si="32"/>
        <v/>
      </c>
      <c r="B2020" s="12"/>
      <c r="C2020" s="4"/>
      <c r="D2020" s="11"/>
      <c r="E2020" s="2"/>
    </row>
    <row r="2021" spans="1:5">
      <c r="A2021" s="8" t="str">
        <f t="shared" ca="1" si="32"/>
        <v/>
      </c>
      <c r="B2021" s="12"/>
      <c r="C2021" s="4"/>
      <c r="D2021" s="11"/>
      <c r="E2021" s="2"/>
    </row>
    <row r="2022" spans="1:5">
      <c r="A2022" s="8" t="str">
        <f t="shared" ca="1" si="32"/>
        <v/>
      </c>
      <c r="B2022" s="12"/>
      <c r="C2022" s="4"/>
      <c r="D2022" s="11"/>
      <c r="E2022" s="2"/>
    </row>
    <row r="2023" spans="1:5">
      <c r="A2023" s="8" t="str">
        <f t="shared" ca="1" si="32"/>
        <v/>
      </c>
      <c r="B2023" s="12"/>
      <c r="C2023" s="4"/>
      <c r="D2023" s="11"/>
      <c r="E2023" s="2"/>
    </row>
    <row r="2024" spans="1:5">
      <c r="A2024" s="8" t="str">
        <f t="shared" ca="1" si="32"/>
        <v/>
      </c>
      <c r="B2024" s="12"/>
      <c r="C2024" s="4"/>
      <c r="D2024" s="11"/>
      <c r="E2024" s="2"/>
    </row>
    <row r="2025" spans="1:5">
      <c r="A2025" s="8" t="str">
        <f t="shared" ca="1" si="32"/>
        <v/>
      </c>
      <c r="B2025" s="12"/>
      <c r="C2025" s="4"/>
      <c r="D2025" s="11"/>
      <c r="E2025" s="2"/>
    </row>
    <row r="2026" spans="1:5">
      <c r="A2026" s="8" t="str">
        <f t="shared" ca="1" si="32"/>
        <v/>
      </c>
      <c r="B2026" s="12"/>
      <c r="C2026" s="4"/>
      <c r="D2026" s="11"/>
      <c r="E2026" s="2"/>
    </row>
    <row r="2027" spans="1:5">
      <c r="A2027" s="8" t="str">
        <f t="shared" ca="1" si="32"/>
        <v/>
      </c>
      <c r="B2027" s="12"/>
      <c r="C2027" s="4"/>
      <c r="D2027" s="11"/>
      <c r="E2027" s="2"/>
    </row>
    <row r="2028" spans="1:5">
      <c r="A2028" s="8" t="str">
        <f t="shared" ca="1" si="32"/>
        <v/>
      </c>
      <c r="B2028" s="12"/>
      <c r="C2028" s="4"/>
      <c r="D2028" s="11"/>
      <c r="E2028" s="2"/>
    </row>
    <row r="2029" spans="1:5">
      <c r="A2029" s="8" t="str">
        <f t="shared" ca="1" si="32"/>
        <v/>
      </c>
      <c r="B2029" s="12"/>
      <c r="C2029" s="4"/>
      <c r="D2029" s="11"/>
      <c r="E2029" s="2"/>
    </row>
    <row r="2030" spans="1:5">
      <c r="A2030" s="8" t="str">
        <f t="shared" ca="1" si="32"/>
        <v/>
      </c>
      <c r="B2030" s="12"/>
      <c r="C2030" s="4"/>
      <c r="D2030" s="11"/>
      <c r="E2030" s="2"/>
    </row>
    <row r="2031" spans="1:5">
      <c r="A2031" s="8" t="str">
        <f t="shared" ca="1" si="32"/>
        <v/>
      </c>
      <c r="B2031" s="12"/>
      <c r="C2031" s="4"/>
      <c r="D2031" s="11"/>
      <c r="E2031" s="2"/>
    </row>
    <row r="2032" spans="1:5">
      <c r="A2032" s="8" t="str">
        <f t="shared" ca="1" si="32"/>
        <v/>
      </c>
      <c r="B2032" s="12"/>
      <c r="C2032" s="4"/>
      <c r="D2032" s="11"/>
      <c r="E2032" s="2"/>
    </row>
    <row r="2033" spans="1:5">
      <c r="A2033" s="8" t="str">
        <f t="shared" ca="1" si="32"/>
        <v/>
      </c>
      <c r="B2033" s="12"/>
      <c r="C2033" s="4"/>
      <c r="D2033" s="11"/>
      <c r="E2033" s="2"/>
    </row>
    <row r="2034" spans="1:5">
      <c r="A2034" s="8" t="str">
        <f t="shared" ca="1" si="32"/>
        <v/>
      </c>
      <c r="B2034" s="12"/>
      <c r="C2034" s="4"/>
      <c r="D2034" s="11"/>
      <c r="E2034" s="2"/>
    </row>
    <row r="2035" spans="1:5">
      <c r="A2035" s="8" t="str">
        <f t="shared" ca="1" si="32"/>
        <v/>
      </c>
      <c r="B2035" s="12"/>
      <c r="C2035" s="4"/>
      <c r="D2035" s="11"/>
      <c r="E2035" s="2"/>
    </row>
    <row r="2036" spans="1:5">
      <c r="A2036" s="8" t="str">
        <f t="shared" ca="1" si="32"/>
        <v/>
      </c>
      <c r="B2036" s="12"/>
      <c r="C2036" s="4"/>
      <c r="D2036" s="11"/>
      <c r="E2036" s="2"/>
    </row>
    <row r="2037" spans="1:5">
      <c r="A2037" s="8" t="str">
        <f t="shared" ca="1" si="32"/>
        <v/>
      </c>
      <c r="B2037" s="12"/>
      <c r="C2037" s="4"/>
      <c r="D2037" s="11"/>
      <c r="E2037" s="2"/>
    </row>
    <row r="2038" spans="1:5">
      <c r="A2038" s="8" t="str">
        <f t="shared" ca="1" si="32"/>
        <v/>
      </c>
      <c r="B2038" s="12"/>
      <c r="C2038" s="4"/>
      <c r="D2038" s="11"/>
      <c r="E2038" s="2"/>
    </row>
    <row r="2039" spans="1:5">
      <c r="A2039" s="8" t="str">
        <f t="shared" ca="1" si="32"/>
        <v/>
      </c>
      <c r="B2039" s="12"/>
      <c r="C2039" s="4"/>
      <c r="D2039" s="11"/>
      <c r="E2039" s="2"/>
    </row>
    <row r="2040" spans="1:5">
      <c r="A2040" s="8" t="str">
        <f t="shared" ca="1" si="32"/>
        <v/>
      </c>
      <c r="B2040" s="12"/>
      <c r="C2040" s="4"/>
      <c r="D2040" s="11"/>
      <c r="E2040" s="2"/>
    </row>
    <row r="2041" spans="1:5">
      <c r="A2041" s="8" t="str">
        <f t="shared" ca="1" si="32"/>
        <v/>
      </c>
      <c r="B2041" s="12"/>
      <c r="C2041" s="4"/>
      <c r="D2041" s="11"/>
      <c r="E2041" s="2"/>
    </row>
    <row r="2042" spans="1:5">
      <c r="A2042" s="8" t="str">
        <f t="shared" ca="1" si="32"/>
        <v/>
      </c>
      <c r="B2042" s="12"/>
      <c r="C2042" s="4"/>
      <c r="D2042" s="11"/>
      <c r="E2042" s="2"/>
    </row>
    <row r="2043" spans="1:5">
      <c r="A2043" s="8" t="str">
        <f t="shared" ca="1" si="32"/>
        <v/>
      </c>
      <c r="B2043" s="12"/>
      <c r="C2043" s="4"/>
      <c r="D2043" s="11"/>
      <c r="E2043" s="2"/>
    </row>
    <row r="2044" spans="1:5">
      <c r="A2044" s="8" t="str">
        <f t="shared" ca="1" si="32"/>
        <v/>
      </c>
      <c r="B2044" s="12"/>
      <c r="C2044" s="4"/>
      <c r="D2044" s="11"/>
      <c r="E2044" s="2"/>
    </row>
    <row r="2045" spans="1:5">
      <c r="A2045" s="8" t="str">
        <f t="shared" ca="1" si="32"/>
        <v/>
      </c>
      <c r="B2045" s="12"/>
      <c r="C2045" s="4"/>
      <c r="D2045" s="11"/>
      <c r="E2045" s="2"/>
    </row>
    <row r="2046" spans="1:5">
      <c r="A2046" s="8" t="str">
        <f t="shared" ca="1" si="32"/>
        <v/>
      </c>
      <c r="B2046" s="12"/>
      <c r="C2046" s="4"/>
      <c r="D2046" s="11"/>
      <c r="E2046" s="2"/>
    </row>
    <row r="2047" spans="1:5">
      <c r="A2047" s="8" t="str">
        <f t="shared" ca="1" si="32"/>
        <v/>
      </c>
      <c r="B2047" s="12"/>
      <c r="C2047" s="4"/>
      <c r="D2047" s="11"/>
      <c r="E2047" s="2"/>
    </row>
    <row r="2048" spans="1:5">
      <c r="A2048" s="8" t="str">
        <f t="shared" ca="1" si="32"/>
        <v/>
      </c>
      <c r="B2048" s="12"/>
      <c r="C2048" s="4"/>
      <c r="D2048" s="11"/>
      <c r="E2048" s="2"/>
    </row>
    <row r="2049" spans="1:5">
      <c r="A2049" s="8" t="str">
        <f t="shared" ca="1" si="32"/>
        <v/>
      </c>
      <c r="B2049" s="12"/>
      <c r="C2049" s="4"/>
      <c r="D2049" s="11"/>
      <c r="E2049" s="2"/>
    </row>
    <row r="2050" spans="1:5">
      <c r="A2050" s="8" t="str">
        <f t="shared" ca="1" si="32"/>
        <v/>
      </c>
      <c r="B2050" s="12"/>
      <c r="C2050" s="4"/>
      <c r="D2050" s="11"/>
      <c r="E2050" s="2"/>
    </row>
    <row r="2051" spans="1:5">
      <c r="A2051" s="8" t="str">
        <f t="shared" ca="1" si="32"/>
        <v/>
      </c>
      <c r="B2051" s="12"/>
      <c r="C2051" s="4"/>
      <c r="D2051" s="11"/>
      <c r="E2051" s="2"/>
    </row>
    <row r="2052" spans="1:5">
      <c r="A2052" s="8" t="str">
        <f t="shared" ca="1" si="32"/>
        <v/>
      </c>
      <c r="B2052" s="12"/>
      <c r="C2052" s="4"/>
      <c r="D2052" s="11"/>
      <c r="E2052" s="2"/>
    </row>
    <row r="2053" spans="1:5">
      <c r="A2053" s="8" t="str">
        <f t="shared" ca="1" si="32"/>
        <v/>
      </c>
      <c r="B2053" s="12"/>
      <c r="C2053" s="4"/>
      <c r="D2053" s="11"/>
      <c r="E2053" s="2"/>
    </row>
    <row r="2054" spans="1:5">
      <c r="A2054" s="8" t="str">
        <f t="shared" ca="1" si="32"/>
        <v/>
      </c>
      <c r="B2054" s="12"/>
      <c r="C2054" s="4"/>
      <c r="D2054" s="11"/>
      <c r="E2054" s="2"/>
    </row>
    <row r="2055" spans="1:5">
      <c r="A2055" s="8" t="str">
        <f t="shared" ca="1" si="32"/>
        <v/>
      </c>
      <c r="B2055" s="12"/>
      <c r="C2055" s="4"/>
      <c r="D2055" s="11"/>
      <c r="E2055" s="2"/>
    </row>
    <row r="2056" spans="1:5">
      <c r="A2056" s="8" t="str">
        <f t="shared" ca="1" si="32"/>
        <v/>
      </c>
      <c r="B2056" s="12"/>
      <c r="C2056" s="4"/>
      <c r="D2056" s="11"/>
      <c r="E2056" s="2"/>
    </row>
    <row r="2057" spans="1:5">
      <c r="A2057" s="8" t="str">
        <f t="shared" ca="1" si="32"/>
        <v/>
      </c>
      <c r="B2057" s="12"/>
      <c r="C2057" s="4"/>
      <c r="D2057" s="11"/>
      <c r="E2057" s="2"/>
    </row>
    <row r="2058" spans="1:5">
      <c r="A2058" s="8" t="str">
        <f t="shared" ref="A2058:A2121" ca="1" si="33">IF(B2058="","",IF(A2058="",TODAY(),A2058))</f>
        <v/>
      </c>
      <c r="B2058" s="12"/>
      <c r="C2058" s="4"/>
      <c r="D2058" s="11"/>
      <c r="E2058" s="2"/>
    </row>
    <row r="2059" spans="1:5">
      <c r="A2059" s="8" t="str">
        <f t="shared" ca="1" si="33"/>
        <v/>
      </c>
      <c r="B2059" s="12"/>
      <c r="C2059" s="4"/>
      <c r="D2059" s="11"/>
      <c r="E2059" s="2"/>
    </row>
    <row r="2060" spans="1:5">
      <c r="A2060" s="8" t="str">
        <f t="shared" ca="1" si="33"/>
        <v/>
      </c>
      <c r="B2060" s="12"/>
      <c r="C2060" s="4"/>
      <c r="D2060" s="11"/>
      <c r="E2060" s="2"/>
    </row>
    <row r="2061" spans="1:5">
      <c r="A2061" s="8" t="str">
        <f t="shared" ca="1" si="33"/>
        <v/>
      </c>
      <c r="B2061" s="12"/>
      <c r="C2061" s="4"/>
      <c r="D2061" s="11"/>
      <c r="E2061" s="2"/>
    </row>
    <row r="2062" spans="1:5">
      <c r="A2062" s="8" t="str">
        <f t="shared" ca="1" si="33"/>
        <v/>
      </c>
      <c r="B2062" s="12"/>
      <c r="C2062" s="4"/>
      <c r="D2062" s="11"/>
      <c r="E2062" s="2"/>
    </row>
    <row r="2063" spans="1:5">
      <c r="A2063" s="8" t="str">
        <f t="shared" ca="1" si="33"/>
        <v/>
      </c>
      <c r="B2063" s="12"/>
      <c r="C2063" s="4"/>
      <c r="D2063" s="11"/>
      <c r="E2063" s="2"/>
    </row>
    <row r="2064" spans="1:5">
      <c r="A2064" s="8" t="str">
        <f t="shared" ca="1" si="33"/>
        <v/>
      </c>
      <c r="B2064" s="12"/>
      <c r="C2064" s="4"/>
      <c r="D2064" s="11"/>
      <c r="E2064" s="2"/>
    </row>
    <row r="2065" spans="1:5">
      <c r="A2065" s="8" t="str">
        <f t="shared" ca="1" si="33"/>
        <v/>
      </c>
      <c r="B2065" s="12"/>
      <c r="C2065" s="4"/>
      <c r="D2065" s="11"/>
      <c r="E2065" s="2"/>
    </row>
    <row r="2066" spans="1:5">
      <c r="A2066" s="8" t="str">
        <f t="shared" ca="1" si="33"/>
        <v/>
      </c>
      <c r="B2066" s="12"/>
      <c r="C2066" s="4"/>
      <c r="D2066" s="11"/>
      <c r="E2066" s="2"/>
    </row>
    <row r="2067" spans="1:5">
      <c r="A2067" s="8" t="str">
        <f t="shared" ca="1" si="33"/>
        <v/>
      </c>
      <c r="B2067" s="12"/>
      <c r="C2067" s="4"/>
      <c r="D2067" s="11"/>
      <c r="E2067" s="2"/>
    </row>
    <row r="2068" spans="1:5">
      <c r="A2068" s="8" t="str">
        <f t="shared" ca="1" si="33"/>
        <v/>
      </c>
      <c r="B2068" s="12"/>
      <c r="C2068" s="4"/>
      <c r="D2068" s="11"/>
      <c r="E2068" s="2"/>
    </row>
    <row r="2069" spans="1:5">
      <c r="A2069" s="8" t="str">
        <f t="shared" ca="1" si="33"/>
        <v/>
      </c>
      <c r="B2069" s="12"/>
      <c r="C2069" s="4"/>
      <c r="D2069" s="11"/>
      <c r="E2069" s="2"/>
    </row>
    <row r="2070" spans="1:5">
      <c r="A2070" s="8" t="str">
        <f t="shared" ca="1" si="33"/>
        <v/>
      </c>
      <c r="B2070" s="12"/>
      <c r="C2070" s="4"/>
      <c r="D2070" s="11"/>
      <c r="E2070" s="2"/>
    </row>
    <row r="2071" spans="1:5">
      <c r="A2071" s="8" t="str">
        <f t="shared" ca="1" si="33"/>
        <v/>
      </c>
      <c r="B2071" s="12"/>
      <c r="C2071" s="4"/>
      <c r="D2071" s="11"/>
      <c r="E2071" s="2"/>
    </row>
    <row r="2072" spans="1:5">
      <c r="A2072" s="8" t="str">
        <f t="shared" ca="1" si="33"/>
        <v/>
      </c>
      <c r="B2072" s="12"/>
      <c r="C2072" s="4"/>
      <c r="D2072" s="11"/>
      <c r="E2072" s="2"/>
    </row>
    <row r="2073" spans="1:5">
      <c r="A2073" s="8" t="str">
        <f t="shared" ca="1" si="33"/>
        <v/>
      </c>
      <c r="B2073" s="12"/>
      <c r="C2073" s="4"/>
      <c r="D2073" s="11"/>
      <c r="E2073" s="2"/>
    </row>
    <row r="2074" spans="1:5">
      <c r="A2074" s="8" t="str">
        <f t="shared" ca="1" si="33"/>
        <v/>
      </c>
      <c r="B2074" s="12"/>
      <c r="C2074" s="4"/>
      <c r="D2074" s="11"/>
      <c r="E2074" s="2"/>
    </row>
    <row r="2075" spans="1:5">
      <c r="A2075" s="8" t="str">
        <f t="shared" ca="1" si="33"/>
        <v/>
      </c>
      <c r="B2075" s="12"/>
      <c r="C2075" s="4"/>
      <c r="D2075" s="11"/>
      <c r="E2075" s="2"/>
    </row>
    <row r="2076" spans="1:5">
      <c r="A2076" s="8" t="str">
        <f t="shared" ca="1" si="33"/>
        <v/>
      </c>
      <c r="B2076" s="12"/>
      <c r="C2076" s="4"/>
      <c r="D2076" s="11"/>
      <c r="E2076" s="2"/>
    </row>
    <row r="2077" spans="1:5">
      <c r="A2077" s="8" t="str">
        <f t="shared" ca="1" si="33"/>
        <v/>
      </c>
      <c r="B2077" s="12"/>
      <c r="C2077" s="4"/>
      <c r="D2077" s="11"/>
      <c r="E2077" s="2"/>
    </row>
    <row r="2078" spans="1:5">
      <c r="A2078" s="8" t="str">
        <f t="shared" ca="1" si="33"/>
        <v/>
      </c>
      <c r="B2078" s="12"/>
      <c r="C2078" s="4"/>
      <c r="D2078" s="11"/>
      <c r="E2078" s="2"/>
    </row>
    <row r="2079" spans="1:5">
      <c r="A2079" s="8" t="str">
        <f t="shared" ca="1" si="33"/>
        <v/>
      </c>
      <c r="B2079" s="12"/>
      <c r="C2079" s="4"/>
      <c r="D2079" s="11"/>
      <c r="E2079" s="2"/>
    </row>
    <row r="2080" spans="1:5">
      <c r="A2080" s="8" t="str">
        <f t="shared" ca="1" si="33"/>
        <v/>
      </c>
      <c r="B2080" s="12"/>
      <c r="C2080" s="4"/>
      <c r="D2080" s="11"/>
      <c r="E2080" s="2"/>
    </row>
    <row r="2081" spans="1:5">
      <c r="A2081" s="8" t="str">
        <f t="shared" ca="1" si="33"/>
        <v/>
      </c>
      <c r="B2081" s="12"/>
      <c r="C2081" s="4"/>
      <c r="D2081" s="11"/>
      <c r="E2081" s="2"/>
    </row>
    <row r="2082" spans="1:5">
      <c r="A2082" s="8" t="str">
        <f t="shared" ca="1" si="33"/>
        <v/>
      </c>
      <c r="B2082" s="12"/>
      <c r="C2082" s="4"/>
      <c r="D2082" s="11"/>
      <c r="E2082" s="2"/>
    </row>
    <row r="2083" spans="1:5">
      <c r="A2083" s="8" t="str">
        <f t="shared" ca="1" si="33"/>
        <v/>
      </c>
      <c r="B2083" s="12"/>
      <c r="C2083" s="4"/>
      <c r="D2083" s="11"/>
      <c r="E2083" s="2"/>
    </row>
    <row r="2084" spans="1:5">
      <c r="A2084" s="8" t="str">
        <f t="shared" ca="1" si="33"/>
        <v/>
      </c>
      <c r="B2084" s="12"/>
      <c r="C2084" s="4"/>
      <c r="D2084" s="11"/>
      <c r="E2084" s="2"/>
    </row>
    <row r="2085" spans="1:5">
      <c r="A2085" s="8" t="str">
        <f t="shared" ca="1" si="33"/>
        <v/>
      </c>
      <c r="B2085" s="12"/>
      <c r="C2085" s="4"/>
      <c r="D2085" s="11"/>
      <c r="E2085" s="2"/>
    </row>
    <row r="2086" spans="1:5">
      <c r="A2086" s="8" t="str">
        <f t="shared" ca="1" si="33"/>
        <v/>
      </c>
      <c r="B2086" s="12"/>
      <c r="C2086" s="4"/>
      <c r="D2086" s="11"/>
      <c r="E2086" s="2"/>
    </row>
    <row r="2087" spans="1:5">
      <c r="A2087" s="8" t="str">
        <f t="shared" ca="1" si="33"/>
        <v/>
      </c>
      <c r="B2087" s="12"/>
      <c r="C2087" s="4"/>
      <c r="D2087" s="11"/>
      <c r="E2087" s="2"/>
    </row>
    <row r="2088" spans="1:5">
      <c r="A2088" s="8" t="str">
        <f t="shared" ca="1" si="33"/>
        <v/>
      </c>
      <c r="B2088" s="12"/>
      <c r="C2088" s="4"/>
      <c r="D2088" s="11"/>
      <c r="E2088" s="2"/>
    </row>
    <row r="2089" spans="1:5">
      <c r="A2089" s="8" t="str">
        <f t="shared" ca="1" si="33"/>
        <v/>
      </c>
      <c r="B2089" s="12"/>
      <c r="C2089" s="4"/>
      <c r="D2089" s="11"/>
      <c r="E2089" s="2"/>
    </row>
    <row r="2090" spans="1:5">
      <c r="A2090" s="8" t="str">
        <f t="shared" ca="1" si="33"/>
        <v/>
      </c>
      <c r="B2090" s="12"/>
      <c r="C2090" s="4"/>
      <c r="D2090" s="11"/>
      <c r="E2090" s="2"/>
    </row>
    <row r="2091" spans="1:5">
      <c r="A2091" s="8" t="str">
        <f t="shared" ca="1" si="33"/>
        <v/>
      </c>
      <c r="B2091" s="12"/>
      <c r="C2091" s="4"/>
      <c r="D2091" s="11"/>
      <c r="E2091" s="2"/>
    </row>
    <row r="2092" spans="1:5">
      <c r="A2092" s="8" t="str">
        <f t="shared" ca="1" si="33"/>
        <v/>
      </c>
      <c r="B2092" s="12"/>
      <c r="C2092" s="4"/>
      <c r="D2092" s="11"/>
      <c r="E2092" s="2"/>
    </row>
    <row r="2093" spans="1:5">
      <c r="A2093" s="8" t="str">
        <f t="shared" ca="1" si="33"/>
        <v/>
      </c>
      <c r="B2093" s="12"/>
      <c r="C2093" s="4"/>
      <c r="D2093" s="11"/>
      <c r="E2093" s="2"/>
    </row>
    <row r="2094" spans="1:5">
      <c r="A2094" s="8" t="str">
        <f t="shared" ca="1" si="33"/>
        <v/>
      </c>
      <c r="B2094" s="12"/>
      <c r="C2094" s="4"/>
      <c r="D2094" s="11"/>
      <c r="E2094" s="2"/>
    </row>
    <row r="2095" spans="1:5">
      <c r="A2095" s="8" t="str">
        <f t="shared" ca="1" si="33"/>
        <v/>
      </c>
      <c r="B2095" s="12"/>
      <c r="C2095" s="4"/>
      <c r="D2095" s="11"/>
      <c r="E2095" s="2"/>
    </row>
    <row r="2096" spans="1:5">
      <c r="A2096" s="8" t="str">
        <f t="shared" ca="1" si="33"/>
        <v/>
      </c>
      <c r="B2096" s="12"/>
      <c r="C2096" s="4"/>
      <c r="D2096" s="11"/>
      <c r="E2096" s="2"/>
    </row>
    <row r="2097" spans="1:5">
      <c r="A2097" s="8" t="str">
        <f t="shared" ca="1" si="33"/>
        <v/>
      </c>
      <c r="B2097" s="12"/>
      <c r="C2097" s="4"/>
      <c r="D2097" s="11"/>
      <c r="E2097" s="2"/>
    </row>
    <row r="2098" spans="1:5">
      <c r="A2098" s="8" t="str">
        <f t="shared" ca="1" si="33"/>
        <v/>
      </c>
      <c r="B2098" s="12"/>
      <c r="C2098" s="4"/>
      <c r="D2098" s="11"/>
      <c r="E2098" s="2"/>
    </row>
    <row r="2099" spans="1:5">
      <c r="A2099" s="8" t="str">
        <f t="shared" ca="1" si="33"/>
        <v/>
      </c>
      <c r="B2099" s="12"/>
      <c r="C2099" s="4"/>
      <c r="D2099" s="11"/>
      <c r="E2099" s="2"/>
    </row>
    <row r="2100" spans="1:5">
      <c r="A2100" s="8" t="str">
        <f t="shared" ca="1" si="33"/>
        <v/>
      </c>
      <c r="B2100" s="12"/>
      <c r="C2100" s="4"/>
      <c r="D2100" s="11"/>
      <c r="E2100" s="2"/>
    </row>
    <row r="2101" spans="1:5">
      <c r="A2101" s="8" t="str">
        <f t="shared" ca="1" si="33"/>
        <v/>
      </c>
      <c r="B2101" s="12"/>
      <c r="C2101" s="4"/>
      <c r="D2101" s="11"/>
      <c r="E2101" s="2"/>
    </row>
    <row r="2102" spans="1:5">
      <c r="A2102" s="8" t="str">
        <f t="shared" ca="1" si="33"/>
        <v/>
      </c>
      <c r="B2102" s="12"/>
      <c r="C2102" s="4"/>
      <c r="D2102" s="11"/>
      <c r="E2102" s="2"/>
    </row>
    <row r="2103" spans="1:5">
      <c r="A2103" s="8" t="str">
        <f t="shared" ca="1" si="33"/>
        <v/>
      </c>
      <c r="B2103" s="12"/>
      <c r="C2103" s="4"/>
      <c r="D2103" s="11"/>
      <c r="E2103" s="2"/>
    </row>
    <row r="2104" spans="1:5">
      <c r="A2104" s="8" t="str">
        <f t="shared" ca="1" si="33"/>
        <v/>
      </c>
      <c r="B2104" s="12"/>
      <c r="C2104" s="4"/>
      <c r="D2104" s="11"/>
      <c r="E2104" s="2"/>
    </row>
    <row r="2105" spans="1:5">
      <c r="A2105" s="8" t="str">
        <f t="shared" ca="1" si="33"/>
        <v/>
      </c>
      <c r="B2105" s="12"/>
      <c r="C2105" s="4"/>
      <c r="D2105" s="11"/>
      <c r="E2105" s="2"/>
    </row>
    <row r="2106" spans="1:5">
      <c r="A2106" s="8" t="str">
        <f t="shared" ca="1" si="33"/>
        <v/>
      </c>
      <c r="B2106" s="12"/>
      <c r="C2106" s="4"/>
      <c r="D2106" s="11"/>
      <c r="E2106" s="2"/>
    </row>
    <row r="2107" spans="1:5">
      <c r="A2107" s="8" t="str">
        <f t="shared" ca="1" si="33"/>
        <v/>
      </c>
      <c r="B2107" s="12"/>
      <c r="C2107" s="4"/>
      <c r="D2107" s="11"/>
      <c r="E2107" s="2"/>
    </row>
    <row r="2108" spans="1:5">
      <c r="A2108" s="8" t="str">
        <f t="shared" ca="1" si="33"/>
        <v/>
      </c>
      <c r="B2108" s="12"/>
      <c r="C2108" s="4"/>
      <c r="D2108" s="11"/>
      <c r="E2108" s="2"/>
    </row>
    <row r="2109" spans="1:5">
      <c r="A2109" s="8" t="str">
        <f t="shared" ca="1" si="33"/>
        <v/>
      </c>
      <c r="B2109" s="12"/>
      <c r="C2109" s="4"/>
      <c r="D2109" s="11"/>
      <c r="E2109" s="2"/>
    </row>
    <row r="2110" spans="1:5">
      <c r="A2110" s="8" t="str">
        <f t="shared" ca="1" si="33"/>
        <v/>
      </c>
      <c r="B2110" s="12"/>
      <c r="C2110" s="4"/>
      <c r="D2110" s="11"/>
      <c r="E2110" s="2"/>
    </row>
    <row r="2111" spans="1:5">
      <c r="A2111" s="8" t="str">
        <f t="shared" ca="1" si="33"/>
        <v/>
      </c>
      <c r="B2111" s="12"/>
      <c r="C2111" s="4"/>
      <c r="D2111" s="11"/>
      <c r="E2111" s="2"/>
    </row>
    <row r="2112" spans="1:5">
      <c r="A2112" s="8" t="str">
        <f t="shared" ca="1" si="33"/>
        <v/>
      </c>
      <c r="B2112" s="12"/>
      <c r="C2112" s="4"/>
      <c r="D2112" s="11"/>
      <c r="E2112" s="2"/>
    </row>
    <row r="2113" spans="1:5">
      <c r="A2113" s="8" t="str">
        <f t="shared" ca="1" si="33"/>
        <v/>
      </c>
      <c r="B2113" s="12"/>
      <c r="C2113" s="4"/>
      <c r="D2113" s="11"/>
      <c r="E2113" s="2"/>
    </row>
    <row r="2114" spans="1:5">
      <c r="A2114" s="8" t="str">
        <f t="shared" ca="1" si="33"/>
        <v/>
      </c>
      <c r="B2114" s="12"/>
      <c r="C2114" s="4"/>
      <c r="D2114" s="11"/>
      <c r="E2114" s="2"/>
    </row>
    <row r="2115" spans="1:5">
      <c r="A2115" s="8" t="str">
        <f t="shared" ca="1" si="33"/>
        <v/>
      </c>
      <c r="B2115" s="12"/>
      <c r="C2115" s="4"/>
      <c r="D2115" s="11"/>
      <c r="E2115" s="2"/>
    </row>
    <row r="2116" spans="1:5">
      <c r="A2116" s="8" t="str">
        <f t="shared" ca="1" si="33"/>
        <v/>
      </c>
      <c r="B2116" s="12"/>
      <c r="C2116" s="4"/>
      <c r="D2116" s="11"/>
      <c r="E2116" s="2"/>
    </row>
    <row r="2117" spans="1:5">
      <c r="A2117" s="8" t="str">
        <f t="shared" ca="1" si="33"/>
        <v/>
      </c>
      <c r="B2117" s="12"/>
      <c r="C2117" s="4"/>
      <c r="D2117" s="11"/>
      <c r="E2117" s="2"/>
    </row>
    <row r="2118" spans="1:5">
      <c r="A2118" s="8" t="str">
        <f t="shared" ca="1" si="33"/>
        <v/>
      </c>
      <c r="B2118" s="12"/>
      <c r="C2118" s="4"/>
      <c r="D2118" s="11"/>
      <c r="E2118" s="2"/>
    </row>
    <row r="2119" spans="1:5">
      <c r="A2119" s="8" t="str">
        <f t="shared" ca="1" si="33"/>
        <v/>
      </c>
      <c r="B2119" s="12"/>
      <c r="C2119" s="4"/>
      <c r="D2119" s="11"/>
      <c r="E2119" s="2"/>
    </row>
    <row r="2120" spans="1:5">
      <c r="A2120" s="8" t="str">
        <f t="shared" ca="1" si="33"/>
        <v/>
      </c>
      <c r="B2120" s="12"/>
      <c r="C2120" s="4"/>
      <c r="D2120" s="11"/>
      <c r="E2120" s="2"/>
    </row>
    <row r="2121" spans="1:5">
      <c r="A2121" s="8" t="str">
        <f t="shared" ca="1" si="33"/>
        <v/>
      </c>
      <c r="B2121" s="12"/>
      <c r="C2121" s="4"/>
      <c r="D2121" s="11"/>
      <c r="E2121" s="2"/>
    </row>
    <row r="2122" spans="1:5">
      <c r="A2122" s="8" t="str">
        <f t="shared" ref="A2122:A2182" ca="1" si="34">IF(B2122="","",IF(A2122="",TODAY(),A2122))</f>
        <v/>
      </c>
      <c r="B2122" s="12"/>
      <c r="C2122" s="4"/>
      <c r="D2122" s="11"/>
      <c r="E2122" s="2"/>
    </row>
    <row r="2123" spans="1:5">
      <c r="A2123" s="8" t="str">
        <f t="shared" ca="1" si="34"/>
        <v/>
      </c>
      <c r="B2123" s="12"/>
      <c r="C2123" s="4"/>
      <c r="D2123" s="11"/>
      <c r="E2123" s="2"/>
    </row>
    <row r="2124" spans="1:5">
      <c r="A2124" s="8" t="str">
        <f t="shared" ca="1" si="34"/>
        <v/>
      </c>
      <c r="B2124" s="12"/>
      <c r="C2124" s="4"/>
      <c r="D2124" s="11"/>
      <c r="E2124" s="2"/>
    </row>
    <row r="2125" spans="1:5">
      <c r="A2125" s="8" t="str">
        <f t="shared" ca="1" si="34"/>
        <v/>
      </c>
      <c r="B2125" s="12"/>
      <c r="C2125" s="4"/>
      <c r="D2125" s="11"/>
      <c r="E2125" s="2"/>
    </row>
    <row r="2126" spans="1:5">
      <c r="A2126" s="8" t="str">
        <f t="shared" ca="1" si="34"/>
        <v/>
      </c>
      <c r="B2126" s="12"/>
      <c r="C2126" s="4"/>
      <c r="D2126" s="11"/>
      <c r="E2126" s="2"/>
    </row>
    <row r="2127" spans="1:5">
      <c r="A2127" s="8" t="str">
        <f t="shared" ca="1" si="34"/>
        <v/>
      </c>
      <c r="B2127" s="12"/>
      <c r="C2127" s="4"/>
      <c r="D2127" s="11"/>
      <c r="E2127" s="2"/>
    </row>
    <row r="2128" spans="1:5">
      <c r="A2128" s="8" t="str">
        <f t="shared" ca="1" si="34"/>
        <v/>
      </c>
      <c r="B2128" s="12"/>
      <c r="C2128" s="4"/>
      <c r="D2128" s="11"/>
      <c r="E2128" s="2"/>
    </row>
    <row r="2129" spans="1:5">
      <c r="A2129" s="8" t="str">
        <f t="shared" ca="1" si="34"/>
        <v/>
      </c>
      <c r="B2129" s="12"/>
      <c r="C2129" s="4"/>
      <c r="D2129" s="11"/>
      <c r="E2129" s="2"/>
    </row>
    <row r="2130" spans="1:5">
      <c r="A2130" s="8" t="str">
        <f t="shared" ca="1" si="34"/>
        <v/>
      </c>
      <c r="B2130" s="12"/>
      <c r="C2130" s="4"/>
      <c r="D2130" s="11"/>
      <c r="E2130" s="2"/>
    </row>
    <row r="2131" spans="1:5">
      <c r="A2131" s="8" t="str">
        <f t="shared" ca="1" si="34"/>
        <v/>
      </c>
      <c r="B2131" s="12"/>
      <c r="C2131" s="4"/>
      <c r="D2131" s="11"/>
      <c r="E2131" s="2"/>
    </row>
    <row r="2132" spans="1:5">
      <c r="A2132" s="8" t="str">
        <f t="shared" ca="1" si="34"/>
        <v/>
      </c>
      <c r="B2132" s="12"/>
      <c r="C2132" s="4"/>
      <c r="D2132" s="11"/>
      <c r="E2132" s="2"/>
    </row>
    <row r="2133" spans="1:5">
      <c r="A2133" s="8" t="str">
        <f t="shared" ca="1" si="34"/>
        <v/>
      </c>
      <c r="B2133" s="12"/>
      <c r="C2133" s="4"/>
      <c r="D2133" s="11"/>
      <c r="E2133" s="2"/>
    </row>
    <row r="2134" spans="1:5">
      <c r="A2134" s="8" t="str">
        <f t="shared" ca="1" si="34"/>
        <v/>
      </c>
      <c r="B2134" s="12"/>
      <c r="C2134" s="4"/>
      <c r="D2134" s="11"/>
      <c r="E2134" s="2"/>
    </row>
    <row r="2135" spans="1:5">
      <c r="A2135" s="8" t="str">
        <f t="shared" ca="1" si="34"/>
        <v/>
      </c>
      <c r="B2135" s="12"/>
      <c r="C2135" s="4"/>
      <c r="D2135" s="11"/>
      <c r="E2135" s="2"/>
    </row>
    <row r="2136" spans="1:5">
      <c r="A2136" s="8" t="str">
        <f t="shared" ca="1" si="34"/>
        <v/>
      </c>
      <c r="B2136" s="12"/>
      <c r="C2136" s="4"/>
      <c r="D2136" s="11"/>
      <c r="E2136" s="2"/>
    </row>
    <row r="2137" spans="1:5">
      <c r="A2137" s="8" t="str">
        <f t="shared" ca="1" si="34"/>
        <v/>
      </c>
      <c r="B2137" s="12"/>
      <c r="C2137" s="4"/>
      <c r="D2137" s="11"/>
      <c r="E2137" s="2"/>
    </row>
    <row r="2138" spans="1:5">
      <c r="A2138" s="8" t="str">
        <f t="shared" ca="1" si="34"/>
        <v/>
      </c>
      <c r="B2138" s="12"/>
      <c r="C2138" s="4"/>
      <c r="D2138" s="11"/>
      <c r="E2138" s="2"/>
    </row>
    <row r="2139" spans="1:5">
      <c r="A2139" s="8" t="str">
        <f t="shared" ca="1" si="34"/>
        <v/>
      </c>
      <c r="B2139" s="12"/>
      <c r="C2139" s="4"/>
      <c r="D2139" s="11"/>
      <c r="E2139" s="2"/>
    </row>
    <row r="2140" spans="1:5">
      <c r="A2140" s="8" t="str">
        <f t="shared" ca="1" si="34"/>
        <v/>
      </c>
      <c r="B2140" s="12"/>
      <c r="C2140" s="4"/>
      <c r="D2140" s="11"/>
      <c r="E2140" s="2"/>
    </row>
    <row r="2141" spans="1:5">
      <c r="A2141" s="8" t="str">
        <f t="shared" ca="1" si="34"/>
        <v/>
      </c>
      <c r="B2141" s="12"/>
      <c r="C2141" s="4"/>
      <c r="D2141" s="11"/>
      <c r="E2141" s="2"/>
    </row>
    <row r="2142" spans="1:5">
      <c r="A2142" s="8" t="str">
        <f t="shared" ca="1" si="34"/>
        <v/>
      </c>
      <c r="B2142" s="12"/>
      <c r="C2142" s="4"/>
      <c r="D2142" s="11"/>
      <c r="E2142" s="2"/>
    </row>
    <row r="2143" spans="1:5">
      <c r="A2143" s="8" t="str">
        <f t="shared" ca="1" si="34"/>
        <v/>
      </c>
      <c r="B2143" s="12"/>
      <c r="C2143" s="4"/>
      <c r="D2143" s="11"/>
      <c r="E2143" s="2"/>
    </row>
    <row r="2144" spans="1:5">
      <c r="A2144" s="8" t="str">
        <f t="shared" ca="1" si="34"/>
        <v/>
      </c>
      <c r="B2144" s="12"/>
      <c r="C2144" s="4"/>
      <c r="D2144" s="11"/>
      <c r="E2144" s="2"/>
    </row>
    <row r="2145" spans="1:5">
      <c r="A2145" s="8" t="str">
        <f t="shared" ca="1" si="34"/>
        <v/>
      </c>
      <c r="B2145" s="12"/>
      <c r="C2145" s="4"/>
      <c r="D2145" s="11"/>
      <c r="E2145" s="2"/>
    </row>
    <row r="2146" spans="1:5">
      <c r="A2146" s="8" t="str">
        <f t="shared" ca="1" si="34"/>
        <v/>
      </c>
      <c r="B2146" s="12"/>
      <c r="C2146" s="4"/>
      <c r="D2146" s="11"/>
      <c r="E2146" s="2"/>
    </row>
    <row r="2147" spans="1:5">
      <c r="A2147" s="8" t="str">
        <f t="shared" ca="1" si="34"/>
        <v/>
      </c>
      <c r="B2147" s="12"/>
      <c r="C2147" s="4"/>
      <c r="D2147" s="11"/>
      <c r="E2147" s="2"/>
    </row>
    <row r="2148" spans="1:5">
      <c r="A2148" s="8" t="str">
        <f t="shared" ca="1" si="34"/>
        <v/>
      </c>
      <c r="B2148" s="12"/>
      <c r="C2148" s="4"/>
      <c r="D2148" s="11"/>
      <c r="E2148" s="2"/>
    </row>
    <row r="2149" spans="1:5">
      <c r="A2149" s="8" t="str">
        <f t="shared" ca="1" si="34"/>
        <v/>
      </c>
      <c r="B2149" s="12"/>
      <c r="C2149" s="4"/>
      <c r="D2149" s="11"/>
      <c r="E2149" s="2"/>
    </row>
    <row r="2150" spans="1:5">
      <c r="A2150" s="8" t="str">
        <f t="shared" ca="1" si="34"/>
        <v/>
      </c>
      <c r="B2150" s="12"/>
      <c r="C2150" s="4"/>
      <c r="D2150" s="11"/>
      <c r="E2150" s="2"/>
    </row>
    <row r="2151" spans="1:5">
      <c r="A2151" s="8" t="str">
        <f t="shared" ca="1" si="34"/>
        <v/>
      </c>
      <c r="B2151" s="12"/>
      <c r="C2151" s="4"/>
      <c r="D2151" s="11"/>
      <c r="E2151" s="2"/>
    </row>
    <row r="2152" spans="1:5">
      <c r="A2152" s="8" t="str">
        <f t="shared" ca="1" si="34"/>
        <v/>
      </c>
      <c r="B2152" s="12"/>
      <c r="C2152" s="4"/>
      <c r="D2152" s="11"/>
      <c r="E2152" s="2"/>
    </row>
    <row r="2153" spans="1:5">
      <c r="A2153" s="8" t="str">
        <f t="shared" ca="1" si="34"/>
        <v/>
      </c>
      <c r="B2153" s="12"/>
      <c r="C2153" s="4"/>
      <c r="D2153" s="11"/>
      <c r="E2153" s="2"/>
    </row>
    <row r="2154" spans="1:5">
      <c r="A2154" s="8" t="str">
        <f t="shared" ca="1" si="34"/>
        <v/>
      </c>
      <c r="B2154" s="12"/>
      <c r="C2154" s="4"/>
      <c r="D2154" s="11"/>
      <c r="E2154" s="2"/>
    </row>
    <row r="2155" spans="1:5">
      <c r="A2155" s="8" t="str">
        <f t="shared" ca="1" si="34"/>
        <v/>
      </c>
      <c r="B2155" s="12"/>
      <c r="C2155" s="4"/>
      <c r="D2155" s="11"/>
      <c r="E2155" s="2"/>
    </row>
    <row r="2156" spans="1:5">
      <c r="A2156" s="8" t="str">
        <f t="shared" ca="1" si="34"/>
        <v/>
      </c>
      <c r="B2156" s="12"/>
      <c r="C2156" s="4"/>
      <c r="D2156" s="11"/>
      <c r="E2156" s="2"/>
    </row>
    <row r="2157" spans="1:5">
      <c r="A2157" s="8" t="str">
        <f t="shared" ca="1" si="34"/>
        <v/>
      </c>
      <c r="B2157" s="12"/>
      <c r="C2157" s="4"/>
      <c r="D2157" s="11"/>
      <c r="E2157" s="2"/>
    </row>
    <row r="2158" spans="1:5">
      <c r="A2158" s="8" t="str">
        <f t="shared" ca="1" si="34"/>
        <v/>
      </c>
      <c r="B2158" s="12"/>
      <c r="C2158" s="4"/>
      <c r="D2158" s="11"/>
      <c r="E2158" s="2"/>
    </row>
    <row r="2159" spans="1:5">
      <c r="A2159" s="8" t="str">
        <f t="shared" ca="1" si="34"/>
        <v/>
      </c>
      <c r="B2159" s="12"/>
      <c r="C2159" s="4"/>
      <c r="D2159" s="11"/>
      <c r="E2159" s="2"/>
    </row>
    <row r="2160" spans="1:5">
      <c r="A2160" s="8" t="str">
        <f t="shared" ca="1" si="34"/>
        <v/>
      </c>
      <c r="B2160" s="12"/>
      <c r="C2160" s="4"/>
      <c r="D2160" s="11"/>
      <c r="E2160" s="2"/>
    </row>
    <row r="2161" spans="1:5">
      <c r="A2161" s="8" t="str">
        <f t="shared" ca="1" si="34"/>
        <v/>
      </c>
      <c r="B2161" s="12"/>
      <c r="C2161" s="4"/>
      <c r="D2161" s="11"/>
      <c r="E2161" s="2"/>
    </row>
    <row r="2162" spans="1:5">
      <c r="A2162" s="8" t="str">
        <f t="shared" ca="1" si="34"/>
        <v/>
      </c>
      <c r="B2162" s="12"/>
      <c r="C2162" s="4"/>
      <c r="D2162" s="11"/>
      <c r="E2162" s="2"/>
    </row>
    <row r="2163" spans="1:5">
      <c r="A2163" s="8" t="str">
        <f t="shared" ca="1" si="34"/>
        <v/>
      </c>
      <c r="B2163" s="12"/>
      <c r="C2163" s="4"/>
      <c r="D2163" s="11"/>
      <c r="E2163" s="2"/>
    </row>
    <row r="2164" spans="1:5">
      <c r="A2164" s="8" t="str">
        <f t="shared" ca="1" si="34"/>
        <v/>
      </c>
      <c r="B2164" s="12"/>
      <c r="C2164" s="4"/>
      <c r="D2164" s="11"/>
      <c r="E2164" s="2"/>
    </row>
    <row r="2165" spans="1:5">
      <c r="A2165" s="8" t="str">
        <f t="shared" ca="1" si="34"/>
        <v/>
      </c>
      <c r="B2165" s="12"/>
      <c r="C2165" s="4"/>
      <c r="D2165" s="11"/>
      <c r="E2165" s="2"/>
    </row>
    <row r="2166" spans="1:5">
      <c r="A2166" s="8" t="str">
        <f t="shared" ca="1" si="34"/>
        <v/>
      </c>
      <c r="B2166" s="12"/>
      <c r="C2166" s="4"/>
      <c r="D2166" s="11"/>
      <c r="E2166" s="2"/>
    </row>
    <row r="2167" spans="1:5">
      <c r="A2167" s="8" t="str">
        <f t="shared" ca="1" si="34"/>
        <v/>
      </c>
      <c r="B2167" s="12"/>
      <c r="C2167" s="4"/>
      <c r="D2167" s="11"/>
      <c r="E2167" s="2"/>
    </row>
    <row r="2168" spans="1:5">
      <c r="A2168" s="8" t="str">
        <f t="shared" ca="1" si="34"/>
        <v/>
      </c>
      <c r="B2168" s="12"/>
      <c r="C2168" s="4"/>
      <c r="D2168" s="11"/>
      <c r="E2168" s="2"/>
    </row>
    <row r="2169" spans="1:5">
      <c r="A2169" s="8" t="str">
        <f t="shared" ca="1" si="34"/>
        <v/>
      </c>
      <c r="B2169" s="12"/>
      <c r="C2169" s="4"/>
      <c r="D2169" s="11"/>
      <c r="E2169" s="2"/>
    </row>
    <row r="2170" spans="1:5">
      <c r="A2170" s="8" t="str">
        <f t="shared" ca="1" si="34"/>
        <v/>
      </c>
      <c r="B2170" s="12"/>
      <c r="C2170" s="4"/>
      <c r="D2170" s="11"/>
      <c r="E2170" s="2"/>
    </row>
    <row r="2171" spans="1:5">
      <c r="A2171" s="8" t="str">
        <f t="shared" ca="1" si="34"/>
        <v/>
      </c>
      <c r="B2171" s="12"/>
      <c r="C2171" s="4"/>
      <c r="D2171" s="11"/>
      <c r="E2171" s="2"/>
    </row>
    <row r="2172" spans="1:5">
      <c r="A2172" s="8" t="str">
        <f t="shared" ca="1" si="34"/>
        <v/>
      </c>
      <c r="B2172" s="12"/>
      <c r="C2172" s="4"/>
      <c r="D2172" s="11"/>
      <c r="E2172" s="2"/>
    </row>
    <row r="2173" spans="1:5">
      <c r="A2173" s="8" t="str">
        <f t="shared" ca="1" si="34"/>
        <v/>
      </c>
      <c r="B2173" s="12"/>
      <c r="C2173" s="4"/>
      <c r="D2173" s="11"/>
      <c r="E2173" s="2"/>
    </row>
    <row r="2174" spans="1:5">
      <c r="A2174" s="8" t="str">
        <f t="shared" ca="1" si="34"/>
        <v/>
      </c>
      <c r="B2174" s="12"/>
      <c r="C2174" s="4"/>
      <c r="D2174" s="11"/>
      <c r="E2174" s="2"/>
    </row>
    <row r="2175" spans="1:5">
      <c r="A2175" s="8" t="str">
        <f t="shared" ca="1" si="34"/>
        <v/>
      </c>
      <c r="B2175" s="12"/>
      <c r="C2175" s="4"/>
      <c r="D2175" s="11"/>
      <c r="E2175" s="2"/>
    </row>
    <row r="2176" spans="1:5">
      <c r="A2176" s="8" t="str">
        <f t="shared" ca="1" si="34"/>
        <v/>
      </c>
      <c r="B2176" s="12"/>
      <c r="C2176" s="4"/>
      <c r="D2176" s="11"/>
      <c r="E2176" s="2"/>
    </row>
    <row r="2177" spans="1:5">
      <c r="A2177" s="8" t="str">
        <f t="shared" ca="1" si="34"/>
        <v/>
      </c>
      <c r="B2177" s="12"/>
      <c r="C2177" s="4"/>
      <c r="D2177" s="11"/>
      <c r="E2177" s="2"/>
    </row>
    <row r="2178" spans="1:5">
      <c r="A2178" s="8" t="str">
        <f t="shared" ca="1" si="34"/>
        <v/>
      </c>
      <c r="B2178" s="12"/>
      <c r="C2178" s="4"/>
      <c r="D2178" s="11"/>
      <c r="E2178" s="2"/>
    </row>
    <row r="2179" spans="1:5">
      <c r="A2179" s="8" t="str">
        <f t="shared" ca="1" si="34"/>
        <v/>
      </c>
      <c r="B2179" s="12"/>
      <c r="C2179" s="4"/>
      <c r="D2179" s="11"/>
      <c r="E2179" s="2"/>
    </row>
    <row r="2180" spans="1:5">
      <c r="A2180" s="8" t="str">
        <f t="shared" ca="1" si="34"/>
        <v/>
      </c>
      <c r="B2180" s="12"/>
      <c r="C2180" s="4"/>
      <c r="D2180" s="11"/>
      <c r="E2180" s="2"/>
    </row>
    <row r="2181" spans="1:5">
      <c r="A2181" s="8" t="str">
        <f t="shared" ca="1" si="34"/>
        <v/>
      </c>
      <c r="B2181" s="12"/>
      <c r="C2181" s="4"/>
      <c r="D2181" s="11"/>
      <c r="E2181" s="2"/>
    </row>
    <row r="2182" spans="1:5">
      <c r="A2182" s="24" t="str">
        <f t="shared" ca="1" si="34"/>
        <v/>
      </c>
      <c r="B2182" s="25"/>
      <c r="C2182" s="13"/>
      <c r="D2182" s="26"/>
      <c r="E2182" s="3"/>
    </row>
  </sheetData>
  <mergeCells count="11">
    <mergeCell ref="R3:V3"/>
    <mergeCell ref="R4:V14"/>
    <mergeCell ref="H7:H10"/>
    <mergeCell ref="H3:H4"/>
    <mergeCell ref="H52:H53"/>
    <mergeCell ref="H35:H36"/>
    <mergeCell ref="H31:H32"/>
    <mergeCell ref="H29:H30"/>
    <mergeCell ref="H27:H28"/>
    <mergeCell ref="H25:H26"/>
    <mergeCell ref="H23:H24"/>
  </mergeCells>
  <conditionalFormatting sqref="E2:E2182">
    <cfRule type="cellIs" dxfId="756" priority="4558" operator="equal">
      <formula>"DISPUTE"</formula>
    </cfRule>
    <cfRule type="cellIs" dxfId="755" priority="4559" operator="equal">
      <formula>"ver release date"</formula>
    </cfRule>
    <cfRule type="cellIs" dxfId="754" priority="4560" operator="equal">
      <formula>"ver active warrant!"</formula>
    </cfRule>
  </conditionalFormatting>
  <conditionalFormatting sqref="E1:E1048576">
    <cfRule type="cellIs" dxfId="753" priority="4176" operator="equal">
      <formula>"CDCR RD request"</formula>
    </cfRule>
    <cfRule type="cellIs" dxfId="752" priority="4177" operator="equal">
      <formula>"RD email request"</formula>
    </cfRule>
    <cfRule type="cellIs" dxfId="751" priority="4505" operator="equal">
      <formula>"SLED PENDING"</formula>
    </cfRule>
  </conditionalFormatting>
  <conditionalFormatting sqref="E1:E1048576">
    <cfRule type="cellIs" dxfId="750" priority="4348" operator="equal">
      <formula>"vendor question"</formula>
    </cfRule>
    <cfRule type="cellIs" dxfId="749" priority="4349" operator="equal">
      <formula>"PATCH PENDING"</formula>
    </cfRule>
  </conditionalFormatting>
  <conditionalFormatting sqref="E2">
    <cfRule type="cellIs" dxfId="748" priority="1064" operator="equal">
      <formula>"DISPUTE"</formula>
    </cfRule>
    <cfRule type="cellIs" dxfId="747" priority="1065" operator="equal">
      <formula>"ver release date"</formula>
    </cfRule>
    <cfRule type="cellIs" dxfId="746" priority="1066" operator="equal">
      <formula>"ver active warrant!"</formula>
    </cfRule>
  </conditionalFormatting>
  <conditionalFormatting sqref="E2">
    <cfRule type="cellIs" dxfId="745" priority="1059" operator="equal">
      <formula>"CDCR RD request"</formula>
    </cfRule>
    <cfRule type="cellIs" dxfId="744" priority="1060" operator="equal">
      <formula>"RD email request"</formula>
    </cfRule>
    <cfRule type="cellIs" dxfId="743" priority="1063" operator="equal">
      <formula>"SLED PENDING"</formula>
    </cfRule>
  </conditionalFormatting>
  <conditionalFormatting sqref="E2">
    <cfRule type="cellIs" dxfId="742" priority="1061" operator="equal">
      <formula>"vendor question"</formula>
    </cfRule>
    <cfRule type="cellIs" dxfId="741" priority="1062" operator="equal">
      <formula>"PATCH PENDING"</formula>
    </cfRule>
  </conditionalFormatting>
  <conditionalFormatting sqref="E2">
    <cfRule type="cellIs" dxfId="740" priority="1056" operator="equal">
      <formula>"DISPUTE"</formula>
    </cfRule>
    <cfRule type="cellIs" dxfId="739" priority="1057" operator="equal">
      <formula>"ver release date"</formula>
    </cfRule>
    <cfRule type="cellIs" dxfId="738" priority="1058" operator="equal">
      <formula>"ver active warrant!"</formula>
    </cfRule>
  </conditionalFormatting>
  <conditionalFormatting sqref="E2">
    <cfRule type="cellIs" dxfId="737" priority="1051" operator="equal">
      <formula>"CDCR RD request"</formula>
    </cfRule>
    <cfRule type="cellIs" dxfId="736" priority="1052" operator="equal">
      <formula>"RD email request"</formula>
    </cfRule>
    <cfRule type="cellIs" dxfId="735" priority="1055" operator="equal">
      <formula>"SLED PENDING"</formula>
    </cfRule>
  </conditionalFormatting>
  <conditionalFormatting sqref="E2">
    <cfRule type="cellIs" dxfId="734" priority="1053" operator="equal">
      <formula>"vendor question"</formula>
    </cfRule>
    <cfRule type="cellIs" dxfId="733" priority="1054" operator="equal">
      <formula>"PATCH PENDING"</formula>
    </cfRule>
  </conditionalFormatting>
  <conditionalFormatting sqref="E2">
    <cfRule type="cellIs" dxfId="732" priority="1048" operator="equal">
      <formula>"DISPUTE"</formula>
    </cfRule>
    <cfRule type="cellIs" dxfId="731" priority="1049" operator="equal">
      <formula>"ver release date"</formula>
    </cfRule>
    <cfRule type="cellIs" dxfId="730" priority="1050" operator="equal">
      <formula>"ver active warrant!"</formula>
    </cfRule>
  </conditionalFormatting>
  <conditionalFormatting sqref="E2">
    <cfRule type="cellIs" dxfId="729" priority="1043" operator="equal">
      <formula>"CDCR RD request"</formula>
    </cfRule>
    <cfRule type="cellIs" dxfId="728" priority="1044" operator="equal">
      <formula>"RD email request"</formula>
    </cfRule>
    <cfRule type="cellIs" dxfId="727" priority="1047" operator="equal">
      <formula>"SLED PENDING"</formula>
    </cfRule>
  </conditionalFormatting>
  <conditionalFormatting sqref="E2">
    <cfRule type="cellIs" dxfId="726" priority="1045" operator="equal">
      <formula>"vendor question"</formula>
    </cfRule>
    <cfRule type="cellIs" dxfId="725" priority="1046" operator="equal">
      <formula>"PATCH PENDING"</formula>
    </cfRule>
  </conditionalFormatting>
  <conditionalFormatting sqref="E2">
    <cfRule type="cellIs" dxfId="724" priority="1040" operator="equal">
      <formula>"DISPUTE"</formula>
    </cfRule>
    <cfRule type="cellIs" dxfId="723" priority="1041" operator="equal">
      <formula>"ver release date"</formula>
    </cfRule>
    <cfRule type="cellIs" dxfId="722" priority="1042" operator="equal">
      <formula>"ver active warrant!"</formula>
    </cfRule>
  </conditionalFormatting>
  <conditionalFormatting sqref="E2">
    <cfRule type="cellIs" dxfId="721" priority="1035" operator="equal">
      <formula>"CDCR RD request"</formula>
    </cfRule>
    <cfRule type="cellIs" dxfId="720" priority="1036" operator="equal">
      <formula>"RD email request"</formula>
    </cfRule>
    <cfRule type="cellIs" dxfId="719" priority="1039" operator="equal">
      <formula>"SLED PENDING"</formula>
    </cfRule>
  </conditionalFormatting>
  <conditionalFormatting sqref="E2">
    <cfRule type="cellIs" dxfId="718" priority="1037" operator="equal">
      <formula>"vendor question"</formula>
    </cfRule>
    <cfRule type="cellIs" dxfId="717" priority="1038" operator="equal">
      <formula>"PATCH PENDING"</formula>
    </cfRule>
  </conditionalFormatting>
  <conditionalFormatting sqref="E2">
    <cfRule type="cellIs" dxfId="716" priority="1032" operator="equal">
      <formula>"DISPUTE"</formula>
    </cfRule>
    <cfRule type="cellIs" dxfId="715" priority="1033" operator="equal">
      <formula>"ver release date"</formula>
    </cfRule>
    <cfRule type="cellIs" dxfId="714" priority="1034" operator="equal">
      <formula>"ver active warrant!"</formula>
    </cfRule>
  </conditionalFormatting>
  <conditionalFormatting sqref="E2">
    <cfRule type="cellIs" dxfId="713" priority="1027" operator="equal">
      <formula>"CDCR RD request"</formula>
    </cfRule>
    <cfRule type="cellIs" dxfId="712" priority="1028" operator="equal">
      <formula>"RD email request"</formula>
    </cfRule>
    <cfRule type="cellIs" dxfId="711" priority="1031" operator="equal">
      <formula>"SLED PENDING"</formula>
    </cfRule>
  </conditionalFormatting>
  <conditionalFormatting sqref="E2">
    <cfRule type="cellIs" dxfId="710" priority="1029" operator="equal">
      <formula>"vendor question"</formula>
    </cfRule>
    <cfRule type="cellIs" dxfId="709" priority="1030" operator="equal">
      <formula>"PATCH PENDING"</formula>
    </cfRule>
  </conditionalFormatting>
  <conditionalFormatting sqref="E2">
    <cfRule type="cellIs" dxfId="708" priority="1024" operator="equal">
      <formula>"DISPUTE"</formula>
    </cfRule>
    <cfRule type="cellIs" dxfId="707" priority="1025" operator="equal">
      <formula>"ver release date"</formula>
    </cfRule>
    <cfRule type="cellIs" dxfId="706" priority="1026" operator="equal">
      <formula>"ver active warrant!"</formula>
    </cfRule>
  </conditionalFormatting>
  <conditionalFormatting sqref="E2">
    <cfRule type="cellIs" dxfId="705" priority="1019" operator="equal">
      <formula>"CDCR RD request"</formula>
    </cfRule>
    <cfRule type="cellIs" dxfId="704" priority="1020" operator="equal">
      <formula>"RD email request"</formula>
    </cfRule>
    <cfRule type="cellIs" dxfId="703" priority="1023" operator="equal">
      <formula>"SLED PENDING"</formula>
    </cfRule>
  </conditionalFormatting>
  <conditionalFormatting sqref="E2">
    <cfRule type="cellIs" dxfId="702" priority="1021" operator="equal">
      <formula>"vendor question"</formula>
    </cfRule>
    <cfRule type="cellIs" dxfId="701" priority="1022" operator="equal">
      <formula>"PATCH PENDING"</formula>
    </cfRule>
  </conditionalFormatting>
  <conditionalFormatting sqref="E2">
    <cfRule type="cellIs" dxfId="700" priority="1016" operator="equal">
      <formula>"DISPUTE"</formula>
    </cfRule>
    <cfRule type="cellIs" dxfId="699" priority="1017" operator="equal">
      <formula>"ver release date"</formula>
    </cfRule>
    <cfRule type="cellIs" dxfId="698" priority="1018" operator="equal">
      <formula>"ver active warrant!"</formula>
    </cfRule>
  </conditionalFormatting>
  <conditionalFormatting sqref="E2">
    <cfRule type="cellIs" dxfId="697" priority="1011" operator="equal">
      <formula>"CDCR RD request"</formula>
    </cfRule>
    <cfRule type="cellIs" dxfId="696" priority="1012" operator="equal">
      <formula>"RD email request"</formula>
    </cfRule>
    <cfRule type="cellIs" dxfId="695" priority="1015" operator="equal">
      <formula>"SLED PENDING"</formula>
    </cfRule>
  </conditionalFormatting>
  <conditionalFormatting sqref="E2">
    <cfRule type="cellIs" dxfId="694" priority="1013" operator="equal">
      <formula>"vendor question"</formula>
    </cfRule>
    <cfRule type="cellIs" dxfId="693" priority="1014" operator="equal">
      <formula>"PATCH PENDING"</formula>
    </cfRule>
  </conditionalFormatting>
  <conditionalFormatting sqref="E2">
    <cfRule type="cellIs" dxfId="692" priority="1008" operator="equal">
      <formula>"DISPUTE"</formula>
    </cfRule>
    <cfRule type="cellIs" dxfId="691" priority="1009" operator="equal">
      <formula>"ver release date"</formula>
    </cfRule>
    <cfRule type="cellIs" dxfId="690" priority="1010" operator="equal">
      <formula>"ver active warrant!"</formula>
    </cfRule>
  </conditionalFormatting>
  <conditionalFormatting sqref="E2">
    <cfRule type="cellIs" dxfId="689" priority="1003" operator="equal">
      <formula>"CDCR RD request"</formula>
    </cfRule>
    <cfRule type="cellIs" dxfId="688" priority="1004" operator="equal">
      <formula>"RD email request"</formula>
    </cfRule>
    <cfRule type="cellIs" dxfId="687" priority="1007" operator="equal">
      <formula>"SLED PENDING"</formula>
    </cfRule>
  </conditionalFormatting>
  <conditionalFormatting sqref="E2">
    <cfRule type="cellIs" dxfId="686" priority="1005" operator="equal">
      <formula>"vendor question"</formula>
    </cfRule>
    <cfRule type="cellIs" dxfId="685" priority="1006" operator="equal">
      <formula>"PATCH PENDING"</formula>
    </cfRule>
  </conditionalFormatting>
  <conditionalFormatting sqref="E2">
    <cfRule type="cellIs" dxfId="684" priority="1000" operator="equal">
      <formula>"DISPUTE"</formula>
    </cfRule>
    <cfRule type="cellIs" dxfId="683" priority="1001" operator="equal">
      <formula>"ver release date"</formula>
    </cfRule>
    <cfRule type="cellIs" dxfId="682" priority="1002" operator="equal">
      <formula>"ver active warrant!"</formula>
    </cfRule>
  </conditionalFormatting>
  <conditionalFormatting sqref="E2">
    <cfRule type="cellIs" dxfId="681" priority="995" operator="equal">
      <formula>"CDCR RD request"</formula>
    </cfRule>
    <cfRule type="cellIs" dxfId="680" priority="996" operator="equal">
      <formula>"RD email request"</formula>
    </cfRule>
    <cfRule type="cellIs" dxfId="679" priority="999" operator="equal">
      <formula>"SLED PENDING"</formula>
    </cfRule>
  </conditionalFormatting>
  <conditionalFormatting sqref="E2">
    <cfRule type="cellIs" dxfId="678" priority="997" operator="equal">
      <formula>"vendor question"</formula>
    </cfRule>
    <cfRule type="cellIs" dxfId="677" priority="998" operator="equal">
      <formula>"PATCH PENDING"</formula>
    </cfRule>
  </conditionalFormatting>
  <conditionalFormatting sqref="E2">
    <cfRule type="cellIs" dxfId="676" priority="992" operator="equal">
      <formula>"DISPUTE"</formula>
    </cfRule>
    <cfRule type="cellIs" dxfId="675" priority="993" operator="equal">
      <formula>"ver release date"</formula>
    </cfRule>
    <cfRule type="cellIs" dxfId="674" priority="994" operator="equal">
      <formula>"ver active warrant!"</formula>
    </cfRule>
  </conditionalFormatting>
  <conditionalFormatting sqref="E2">
    <cfRule type="cellIs" dxfId="673" priority="987" operator="equal">
      <formula>"CDCR RD request"</formula>
    </cfRule>
    <cfRule type="cellIs" dxfId="672" priority="988" operator="equal">
      <formula>"RD email request"</formula>
    </cfRule>
    <cfRule type="cellIs" dxfId="671" priority="991" operator="equal">
      <formula>"SLED PENDING"</formula>
    </cfRule>
  </conditionalFormatting>
  <conditionalFormatting sqref="E2">
    <cfRule type="cellIs" dxfId="670" priority="989" operator="equal">
      <formula>"vendor question"</formula>
    </cfRule>
    <cfRule type="cellIs" dxfId="669" priority="990" operator="equal">
      <formula>"PATCH PENDING"</formula>
    </cfRule>
  </conditionalFormatting>
  <conditionalFormatting sqref="E3">
    <cfRule type="cellIs" dxfId="668" priority="952" operator="equal">
      <formula>"DISPUTE"</formula>
    </cfRule>
    <cfRule type="cellIs" dxfId="667" priority="953" operator="equal">
      <formula>"ver release date"</formula>
    </cfRule>
    <cfRule type="cellIs" dxfId="666" priority="954" operator="equal">
      <formula>"ver active warrant!"</formula>
    </cfRule>
  </conditionalFormatting>
  <conditionalFormatting sqref="E3">
    <cfRule type="cellIs" dxfId="665" priority="947" operator="equal">
      <formula>"CDCR RD request"</formula>
    </cfRule>
    <cfRule type="cellIs" dxfId="664" priority="948" operator="equal">
      <formula>"RD email request"</formula>
    </cfRule>
    <cfRule type="cellIs" dxfId="663" priority="951" operator="equal">
      <formula>"SLED PENDING"</formula>
    </cfRule>
  </conditionalFormatting>
  <conditionalFormatting sqref="E3">
    <cfRule type="cellIs" dxfId="662" priority="949" operator="equal">
      <formula>"vendor question"</formula>
    </cfRule>
    <cfRule type="cellIs" dxfId="661" priority="950" operator="equal">
      <formula>"PATCH PENDING"</formula>
    </cfRule>
  </conditionalFormatting>
  <conditionalFormatting sqref="E3">
    <cfRule type="cellIs" dxfId="660" priority="944" operator="equal">
      <formula>"DISPUTE"</formula>
    </cfRule>
    <cfRule type="cellIs" dxfId="659" priority="945" operator="equal">
      <formula>"ver release date"</formula>
    </cfRule>
    <cfRule type="cellIs" dxfId="658" priority="946" operator="equal">
      <formula>"ver active warrant!"</formula>
    </cfRule>
  </conditionalFormatting>
  <conditionalFormatting sqref="E3">
    <cfRule type="cellIs" dxfId="657" priority="939" operator="equal">
      <formula>"CDCR RD request"</formula>
    </cfRule>
    <cfRule type="cellIs" dxfId="656" priority="940" operator="equal">
      <formula>"RD email request"</formula>
    </cfRule>
    <cfRule type="cellIs" dxfId="655" priority="943" operator="equal">
      <formula>"SLED PENDING"</formula>
    </cfRule>
  </conditionalFormatting>
  <conditionalFormatting sqref="E3">
    <cfRule type="cellIs" dxfId="654" priority="941" operator="equal">
      <formula>"vendor question"</formula>
    </cfRule>
    <cfRule type="cellIs" dxfId="653" priority="942" operator="equal">
      <formula>"PATCH PENDING"</formula>
    </cfRule>
  </conditionalFormatting>
  <conditionalFormatting sqref="E3">
    <cfRule type="cellIs" dxfId="652" priority="936" operator="equal">
      <formula>"DISPUTE"</formula>
    </cfRule>
    <cfRule type="cellIs" dxfId="651" priority="937" operator="equal">
      <formula>"ver release date"</formula>
    </cfRule>
    <cfRule type="cellIs" dxfId="650" priority="938" operator="equal">
      <formula>"ver active warrant!"</formula>
    </cfRule>
  </conditionalFormatting>
  <conditionalFormatting sqref="E3">
    <cfRule type="cellIs" dxfId="649" priority="931" operator="equal">
      <formula>"CDCR RD request"</formula>
    </cfRule>
    <cfRule type="cellIs" dxfId="648" priority="932" operator="equal">
      <formula>"RD email request"</formula>
    </cfRule>
    <cfRule type="cellIs" dxfId="647" priority="935" operator="equal">
      <formula>"SLED PENDING"</formula>
    </cfRule>
  </conditionalFormatting>
  <conditionalFormatting sqref="E3">
    <cfRule type="cellIs" dxfId="646" priority="933" operator="equal">
      <formula>"vendor question"</formula>
    </cfRule>
    <cfRule type="cellIs" dxfId="645" priority="934" operator="equal">
      <formula>"PATCH PENDING"</formula>
    </cfRule>
  </conditionalFormatting>
  <conditionalFormatting sqref="E3">
    <cfRule type="cellIs" dxfId="644" priority="928" operator="equal">
      <formula>"DISPUTE"</formula>
    </cfRule>
    <cfRule type="cellIs" dxfId="643" priority="929" operator="equal">
      <formula>"ver release date"</formula>
    </cfRule>
    <cfRule type="cellIs" dxfId="642" priority="930" operator="equal">
      <formula>"ver active warrant!"</formula>
    </cfRule>
  </conditionalFormatting>
  <conditionalFormatting sqref="E3">
    <cfRule type="cellIs" dxfId="641" priority="923" operator="equal">
      <formula>"CDCR RD request"</formula>
    </cfRule>
    <cfRule type="cellIs" dxfId="640" priority="924" operator="equal">
      <formula>"RD email request"</formula>
    </cfRule>
    <cfRule type="cellIs" dxfId="639" priority="927" operator="equal">
      <formula>"SLED PENDING"</formula>
    </cfRule>
  </conditionalFormatting>
  <conditionalFormatting sqref="E3">
    <cfRule type="cellIs" dxfId="638" priority="925" operator="equal">
      <formula>"vendor question"</formula>
    </cfRule>
    <cfRule type="cellIs" dxfId="637" priority="926" operator="equal">
      <formula>"PATCH PENDING"</formula>
    </cfRule>
  </conditionalFormatting>
  <conditionalFormatting sqref="E3">
    <cfRule type="cellIs" dxfId="636" priority="920" operator="equal">
      <formula>"DISPUTE"</formula>
    </cfRule>
    <cfRule type="cellIs" dxfId="635" priority="921" operator="equal">
      <formula>"ver release date"</formula>
    </cfRule>
    <cfRule type="cellIs" dxfId="634" priority="922" operator="equal">
      <formula>"ver active warrant!"</formula>
    </cfRule>
  </conditionalFormatting>
  <conditionalFormatting sqref="E3">
    <cfRule type="cellIs" dxfId="633" priority="915" operator="equal">
      <formula>"CDCR RD request"</formula>
    </cfRule>
    <cfRule type="cellIs" dxfId="632" priority="916" operator="equal">
      <formula>"RD email request"</formula>
    </cfRule>
    <cfRule type="cellIs" dxfId="631" priority="919" operator="equal">
      <formula>"SLED PENDING"</formula>
    </cfRule>
  </conditionalFormatting>
  <conditionalFormatting sqref="E3">
    <cfRule type="cellIs" dxfId="630" priority="917" operator="equal">
      <formula>"vendor question"</formula>
    </cfRule>
    <cfRule type="cellIs" dxfId="629" priority="918" operator="equal">
      <formula>"PATCH PENDING"</formula>
    </cfRule>
  </conditionalFormatting>
  <conditionalFormatting sqref="E3">
    <cfRule type="cellIs" dxfId="628" priority="912" operator="equal">
      <formula>"DISPUTE"</formula>
    </cfRule>
    <cfRule type="cellIs" dxfId="627" priority="913" operator="equal">
      <formula>"ver release date"</formula>
    </cfRule>
    <cfRule type="cellIs" dxfId="626" priority="914" operator="equal">
      <formula>"ver active warrant!"</formula>
    </cfRule>
  </conditionalFormatting>
  <conditionalFormatting sqref="E3">
    <cfRule type="cellIs" dxfId="625" priority="907" operator="equal">
      <formula>"CDCR RD request"</formula>
    </cfRule>
    <cfRule type="cellIs" dxfId="624" priority="908" operator="equal">
      <formula>"RD email request"</formula>
    </cfRule>
    <cfRule type="cellIs" dxfId="623" priority="911" operator="equal">
      <formula>"SLED PENDING"</formula>
    </cfRule>
  </conditionalFormatting>
  <conditionalFormatting sqref="E3">
    <cfRule type="cellIs" dxfId="622" priority="909" operator="equal">
      <formula>"vendor question"</formula>
    </cfRule>
    <cfRule type="cellIs" dxfId="621" priority="910" operator="equal">
      <formula>"PATCH PENDING"</formula>
    </cfRule>
  </conditionalFormatting>
  <conditionalFormatting sqref="E3">
    <cfRule type="cellIs" dxfId="620" priority="904" operator="equal">
      <formula>"DISPUTE"</formula>
    </cfRule>
    <cfRule type="cellIs" dxfId="619" priority="905" operator="equal">
      <formula>"ver release date"</formula>
    </cfRule>
    <cfRule type="cellIs" dxfId="618" priority="906" operator="equal">
      <formula>"ver active warrant!"</formula>
    </cfRule>
  </conditionalFormatting>
  <conditionalFormatting sqref="E3">
    <cfRule type="cellIs" dxfId="617" priority="899" operator="equal">
      <formula>"CDCR RD request"</formula>
    </cfRule>
    <cfRule type="cellIs" dxfId="616" priority="900" operator="equal">
      <formula>"RD email request"</formula>
    </cfRule>
    <cfRule type="cellIs" dxfId="615" priority="903" operator="equal">
      <formula>"SLED PENDING"</formula>
    </cfRule>
  </conditionalFormatting>
  <conditionalFormatting sqref="E3">
    <cfRule type="cellIs" dxfId="614" priority="901" operator="equal">
      <formula>"vendor question"</formula>
    </cfRule>
    <cfRule type="cellIs" dxfId="613" priority="902" operator="equal">
      <formula>"PATCH PENDING"</formula>
    </cfRule>
  </conditionalFormatting>
  <conditionalFormatting sqref="E3">
    <cfRule type="cellIs" dxfId="612" priority="896" operator="equal">
      <formula>"DISPUTE"</formula>
    </cfRule>
    <cfRule type="cellIs" dxfId="611" priority="897" operator="equal">
      <formula>"ver release date"</formula>
    </cfRule>
    <cfRule type="cellIs" dxfId="610" priority="898" operator="equal">
      <formula>"ver active warrant!"</formula>
    </cfRule>
  </conditionalFormatting>
  <conditionalFormatting sqref="E3">
    <cfRule type="cellIs" dxfId="609" priority="891" operator="equal">
      <formula>"CDCR RD request"</formula>
    </cfRule>
    <cfRule type="cellIs" dxfId="608" priority="892" operator="equal">
      <formula>"RD email request"</formula>
    </cfRule>
    <cfRule type="cellIs" dxfId="607" priority="895" operator="equal">
      <formula>"SLED PENDING"</formula>
    </cfRule>
  </conditionalFormatting>
  <conditionalFormatting sqref="E3">
    <cfRule type="cellIs" dxfId="606" priority="893" operator="equal">
      <formula>"vendor question"</formula>
    </cfRule>
    <cfRule type="cellIs" dxfId="605" priority="894" operator="equal">
      <formula>"PATCH PENDING"</formula>
    </cfRule>
  </conditionalFormatting>
  <conditionalFormatting sqref="E3">
    <cfRule type="cellIs" dxfId="604" priority="888" operator="equal">
      <formula>"DISPUTE"</formula>
    </cfRule>
    <cfRule type="cellIs" dxfId="603" priority="889" operator="equal">
      <formula>"ver release date"</formula>
    </cfRule>
    <cfRule type="cellIs" dxfId="602" priority="890" operator="equal">
      <formula>"ver active warrant!"</formula>
    </cfRule>
  </conditionalFormatting>
  <conditionalFormatting sqref="E3">
    <cfRule type="cellIs" dxfId="601" priority="883" operator="equal">
      <formula>"CDCR RD request"</formula>
    </cfRule>
    <cfRule type="cellIs" dxfId="600" priority="884" operator="equal">
      <formula>"RD email request"</formula>
    </cfRule>
    <cfRule type="cellIs" dxfId="599" priority="887" operator="equal">
      <formula>"SLED PENDING"</formula>
    </cfRule>
  </conditionalFormatting>
  <conditionalFormatting sqref="E3">
    <cfRule type="cellIs" dxfId="598" priority="885" operator="equal">
      <formula>"vendor question"</formula>
    </cfRule>
    <cfRule type="cellIs" dxfId="597" priority="886" operator="equal">
      <formula>"PATCH PENDING"</formula>
    </cfRule>
  </conditionalFormatting>
  <conditionalFormatting sqref="E3">
    <cfRule type="cellIs" dxfId="596" priority="880" operator="equal">
      <formula>"DISPUTE"</formula>
    </cfRule>
    <cfRule type="cellIs" dxfId="595" priority="881" operator="equal">
      <formula>"ver release date"</formula>
    </cfRule>
    <cfRule type="cellIs" dxfId="594" priority="882" operator="equal">
      <formula>"ver active warrant!"</formula>
    </cfRule>
  </conditionalFormatting>
  <conditionalFormatting sqref="E3">
    <cfRule type="cellIs" dxfId="593" priority="875" operator="equal">
      <formula>"CDCR RD request"</formula>
    </cfRule>
    <cfRule type="cellIs" dxfId="592" priority="876" operator="equal">
      <formula>"RD email request"</formula>
    </cfRule>
    <cfRule type="cellIs" dxfId="591" priority="879" operator="equal">
      <formula>"SLED PENDING"</formula>
    </cfRule>
  </conditionalFormatting>
  <conditionalFormatting sqref="E3">
    <cfRule type="cellIs" dxfId="590" priority="877" operator="equal">
      <formula>"vendor question"</formula>
    </cfRule>
    <cfRule type="cellIs" dxfId="589" priority="878" operator="equal">
      <formula>"PATCH PENDING"</formula>
    </cfRule>
  </conditionalFormatting>
  <conditionalFormatting sqref="E4">
    <cfRule type="cellIs" dxfId="588" priority="872" operator="equal">
      <formula>"DISPUTE"</formula>
    </cfRule>
    <cfRule type="cellIs" dxfId="587" priority="873" operator="equal">
      <formula>"ver release date"</formula>
    </cfRule>
    <cfRule type="cellIs" dxfId="586" priority="874" operator="equal">
      <formula>"ver active warrant!"</formula>
    </cfRule>
  </conditionalFormatting>
  <conditionalFormatting sqref="E4">
    <cfRule type="cellIs" dxfId="585" priority="867" operator="equal">
      <formula>"CDCR RD request"</formula>
    </cfRule>
    <cfRule type="cellIs" dxfId="584" priority="868" operator="equal">
      <formula>"RD email request"</formula>
    </cfRule>
    <cfRule type="cellIs" dxfId="583" priority="871" operator="equal">
      <formula>"SLED PENDING"</formula>
    </cfRule>
  </conditionalFormatting>
  <conditionalFormatting sqref="E4">
    <cfRule type="cellIs" dxfId="582" priority="869" operator="equal">
      <formula>"vendor question"</formula>
    </cfRule>
    <cfRule type="cellIs" dxfId="581" priority="870" operator="equal">
      <formula>"PATCH PENDING"</formula>
    </cfRule>
  </conditionalFormatting>
  <conditionalFormatting sqref="E4">
    <cfRule type="cellIs" dxfId="580" priority="864" operator="equal">
      <formula>"DISPUTE"</formula>
    </cfRule>
    <cfRule type="cellIs" dxfId="579" priority="865" operator="equal">
      <formula>"ver release date"</formula>
    </cfRule>
    <cfRule type="cellIs" dxfId="578" priority="866" operator="equal">
      <formula>"ver active warrant!"</formula>
    </cfRule>
  </conditionalFormatting>
  <conditionalFormatting sqref="E4">
    <cfRule type="cellIs" dxfId="577" priority="859" operator="equal">
      <formula>"CDCR RD request"</formula>
    </cfRule>
    <cfRule type="cellIs" dxfId="576" priority="860" operator="equal">
      <formula>"RD email request"</formula>
    </cfRule>
    <cfRule type="cellIs" dxfId="575" priority="863" operator="equal">
      <formula>"SLED PENDING"</formula>
    </cfRule>
  </conditionalFormatting>
  <conditionalFormatting sqref="E4">
    <cfRule type="cellIs" dxfId="574" priority="861" operator="equal">
      <formula>"vendor question"</formula>
    </cfRule>
    <cfRule type="cellIs" dxfId="573" priority="862" operator="equal">
      <formula>"PATCH PENDING"</formula>
    </cfRule>
  </conditionalFormatting>
  <conditionalFormatting sqref="E4">
    <cfRule type="cellIs" dxfId="572" priority="856" operator="equal">
      <formula>"DISPUTE"</formula>
    </cfRule>
    <cfRule type="cellIs" dxfId="571" priority="857" operator="equal">
      <formula>"ver release date"</formula>
    </cfRule>
    <cfRule type="cellIs" dxfId="570" priority="858" operator="equal">
      <formula>"ver active warrant!"</formula>
    </cfRule>
  </conditionalFormatting>
  <conditionalFormatting sqref="E4">
    <cfRule type="cellIs" dxfId="569" priority="851" operator="equal">
      <formula>"CDCR RD request"</formula>
    </cfRule>
    <cfRule type="cellIs" dxfId="568" priority="852" operator="equal">
      <formula>"RD email request"</formula>
    </cfRule>
    <cfRule type="cellIs" dxfId="567" priority="855" operator="equal">
      <formula>"SLED PENDING"</formula>
    </cfRule>
  </conditionalFormatting>
  <conditionalFormatting sqref="E4">
    <cfRule type="cellIs" dxfId="566" priority="853" operator="equal">
      <formula>"vendor question"</formula>
    </cfRule>
    <cfRule type="cellIs" dxfId="565" priority="854" operator="equal">
      <formula>"PATCH PENDING"</formula>
    </cfRule>
  </conditionalFormatting>
  <conditionalFormatting sqref="E4">
    <cfRule type="cellIs" dxfId="564" priority="848" operator="equal">
      <formula>"DISPUTE"</formula>
    </cfRule>
    <cfRule type="cellIs" dxfId="563" priority="849" operator="equal">
      <formula>"ver release date"</formula>
    </cfRule>
    <cfRule type="cellIs" dxfId="562" priority="850" operator="equal">
      <formula>"ver active warrant!"</formula>
    </cfRule>
  </conditionalFormatting>
  <conditionalFormatting sqref="E4">
    <cfRule type="cellIs" dxfId="561" priority="843" operator="equal">
      <formula>"CDCR RD request"</formula>
    </cfRule>
    <cfRule type="cellIs" dxfId="560" priority="844" operator="equal">
      <formula>"RD email request"</formula>
    </cfRule>
    <cfRule type="cellIs" dxfId="559" priority="847" operator="equal">
      <formula>"SLED PENDING"</formula>
    </cfRule>
  </conditionalFormatting>
  <conditionalFormatting sqref="E4">
    <cfRule type="cellIs" dxfId="558" priority="845" operator="equal">
      <formula>"vendor question"</formula>
    </cfRule>
    <cfRule type="cellIs" dxfId="557" priority="846" operator="equal">
      <formula>"PATCH PENDING"</formula>
    </cfRule>
  </conditionalFormatting>
  <conditionalFormatting sqref="E4">
    <cfRule type="cellIs" dxfId="556" priority="840" operator="equal">
      <formula>"DISPUTE"</formula>
    </cfRule>
    <cfRule type="cellIs" dxfId="555" priority="841" operator="equal">
      <formula>"ver release date"</formula>
    </cfRule>
    <cfRule type="cellIs" dxfId="554" priority="842" operator="equal">
      <formula>"ver active warrant!"</formula>
    </cfRule>
  </conditionalFormatting>
  <conditionalFormatting sqref="E4">
    <cfRule type="cellIs" dxfId="553" priority="835" operator="equal">
      <formula>"CDCR RD request"</formula>
    </cfRule>
    <cfRule type="cellIs" dxfId="552" priority="836" operator="equal">
      <formula>"RD email request"</formula>
    </cfRule>
    <cfRule type="cellIs" dxfId="551" priority="839" operator="equal">
      <formula>"SLED PENDING"</formula>
    </cfRule>
  </conditionalFormatting>
  <conditionalFormatting sqref="E4">
    <cfRule type="cellIs" dxfId="550" priority="837" operator="equal">
      <formula>"vendor question"</formula>
    </cfRule>
    <cfRule type="cellIs" dxfId="549" priority="838" operator="equal">
      <formula>"PATCH PENDING"</formula>
    </cfRule>
  </conditionalFormatting>
  <conditionalFormatting sqref="E4">
    <cfRule type="cellIs" dxfId="548" priority="832" operator="equal">
      <formula>"DISPUTE"</formula>
    </cfRule>
    <cfRule type="cellIs" dxfId="547" priority="833" operator="equal">
      <formula>"ver release date"</formula>
    </cfRule>
    <cfRule type="cellIs" dxfId="546" priority="834" operator="equal">
      <formula>"ver active warrant!"</formula>
    </cfRule>
  </conditionalFormatting>
  <conditionalFormatting sqref="E4">
    <cfRule type="cellIs" dxfId="545" priority="827" operator="equal">
      <formula>"CDCR RD request"</formula>
    </cfRule>
    <cfRule type="cellIs" dxfId="544" priority="828" operator="equal">
      <formula>"RD email request"</formula>
    </cfRule>
    <cfRule type="cellIs" dxfId="543" priority="831" operator="equal">
      <formula>"SLED PENDING"</formula>
    </cfRule>
  </conditionalFormatting>
  <conditionalFormatting sqref="E4">
    <cfRule type="cellIs" dxfId="542" priority="829" operator="equal">
      <formula>"vendor question"</formula>
    </cfRule>
    <cfRule type="cellIs" dxfId="541" priority="830" operator="equal">
      <formula>"PATCH PENDING"</formula>
    </cfRule>
  </conditionalFormatting>
  <conditionalFormatting sqref="E4">
    <cfRule type="cellIs" dxfId="540" priority="824" operator="equal">
      <formula>"DISPUTE"</formula>
    </cfRule>
    <cfRule type="cellIs" dxfId="539" priority="825" operator="equal">
      <formula>"ver release date"</formula>
    </cfRule>
    <cfRule type="cellIs" dxfId="538" priority="826" operator="equal">
      <formula>"ver active warrant!"</formula>
    </cfRule>
  </conditionalFormatting>
  <conditionalFormatting sqref="E4">
    <cfRule type="cellIs" dxfId="537" priority="819" operator="equal">
      <formula>"CDCR RD request"</formula>
    </cfRule>
    <cfRule type="cellIs" dxfId="536" priority="820" operator="equal">
      <formula>"RD email request"</formula>
    </cfRule>
    <cfRule type="cellIs" dxfId="535" priority="823" operator="equal">
      <formula>"SLED PENDING"</formula>
    </cfRule>
  </conditionalFormatting>
  <conditionalFormatting sqref="E4">
    <cfRule type="cellIs" dxfId="534" priority="821" operator="equal">
      <formula>"vendor question"</formula>
    </cfRule>
    <cfRule type="cellIs" dxfId="533" priority="822" operator="equal">
      <formula>"PATCH PENDING"</formula>
    </cfRule>
  </conditionalFormatting>
  <conditionalFormatting sqref="E4">
    <cfRule type="cellIs" dxfId="532" priority="816" operator="equal">
      <formula>"DISPUTE"</formula>
    </cfRule>
    <cfRule type="cellIs" dxfId="531" priority="817" operator="equal">
      <formula>"ver release date"</formula>
    </cfRule>
    <cfRule type="cellIs" dxfId="530" priority="818" operator="equal">
      <formula>"ver active warrant!"</formula>
    </cfRule>
  </conditionalFormatting>
  <conditionalFormatting sqref="E4">
    <cfRule type="cellIs" dxfId="529" priority="811" operator="equal">
      <formula>"CDCR RD request"</formula>
    </cfRule>
    <cfRule type="cellIs" dxfId="528" priority="812" operator="equal">
      <formula>"RD email request"</formula>
    </cfRule>
    <cfRule type="cellIs" dxfId="527" priority="815" operator="equal">
      <formula>"SLED PENDING"</formula>
    </cfRule>
  </conditionalFormatting>
  <conditionalFormatting sqref="E4">
    <cfRule type="cellIs" dxfId="526" priority="813" operator="equal">
      <formula>"vendor question"</formula>
    </cfRule>
    <cfRule type="cellIs" dxfId="525" priority="814" operator="equal">
      <formula>"PATCH PENDING"</formula>
    </cfRule>
  </conditionalFormatting>
  <conditionalFormatting sqref="E4">
    <cfRule type="cellIs" dxfId="524" priority="808" operator="equal">
      <formula>"DISPUTE"</formula>
    </cfRule>
    <cfRule type="cellIs" dxfId="523" priority="809" operator="equal">
      <formula>"ver release date"</formula>
    </cfRule>
    <cfRule type="cellIs" dxfId="522" priority="810" operator="equal">
      <formula>"ver active warrant!"</formula>
    </cfRule>
  </conditionalFormatting>
  <conditionalFormatting sqref="E4">
    <cfRule type="cellIs" dxfId="521" priority="803" operator="equal">
      <formula>"CDCR RD request"</formula>
    </cfRule>
    <cfRule type="cellIs" dxfId="520" priority="804" operator="equal">
      <formula>"RD email request"</formula>
    </cfRule>
    <cfRule type="cellIs" dxfId="519" priority="807" operator="equal">
      <formula>"SLED PENDING"</formula>
    </cfRule>
  </conditionalFormatting>
  <conditionalFormatting sqref="E4">
    <cfRule type="cellIs" dxfId="518" priority="805" operator="equal">
      <formula>"vendor question"</formula>
    </cfRule>
    <cfRule type="cellIs" dxfId="517" priority="806" operator="equal">
      <formula>"PATCH PENDING"</formula>
    </cfRule>
  </conditionalFormatting>
  <conditionalFormatting sqref="E4">
    <cfRule type="cellIs" dxfId="516" priority="800" operator="equal">
      <formula>"DISPUTE"</formula>
    </cfRule>
    <cfRule type="cellIs" dxfId="515" priority="801" operator="equal">
      <formula>"ver release date"</formula>
    </cfRule>
    <cfRule type="cellIs" dxfId="514" priority="802" operator="equal">
      <formula>"ver active warrant!"</formula>
    </cfRule>
  </conditionalFormatting>
  <conditionalFormatting sqref="E4">
    <cfRule type="cellIs" dxfId="513" priority="795" operator="equal">
      <formula>"CDCR RD request"</formula>
    </cfRule>
    <cfRule type="cellIs" dxfId="512" priority="796" operator="equal">
      <formula>"RD email request"</formula>
    </cfRule>
    <cfRule type="cellIs" dxfId="511" priority="799" operator="equal">
      <formula>"SLED PENDING"</formula>
    </cfRule>
  </conditionalFormatting>
  <conditionalFormatting sqref="E4">
    <cfRule type="cellIs" dxfId="510" priority="797" operator="equal">
      <formula>"vendor question"</formula>
    </cfRule>
    <cfRule type="cellIs" dxfId="509" priority="798" operator="equal">
      <formula>"PATCH PENDING"</formula>
    </cfRule>
  </conditionalFormatting>
  <conditionalFormatting sqref="E5">
    <cfRule type="cellIs" dxfId="508" priority="488" operator="equal">
      <formula>"DISPUTE"</formula>
    </cfRule>
    <cfRule type="cellIs" dxfId="507" priority="489" operator="equal">
      <formula>"ver release date"</formula>
    </cfRule>
    <cfRule type="cellIs" dxfId="506" priority="490" operator="equal">
      <formula>"ver active warrant!"</formula>
    </cfRule>
  </conditionalFormatting>
  <conditionalFormatting sqref="E5">
    <cfRule type="cellIs" dxfId="505" priority="483" operator="equal">
      <formula>"CDCR RD request"</formula>
    </cfRule>
    <cfRule type="cellIs" dxfId="504" priority="484" operator="equal">
      <formula>"RD email request"</formula>
    </cfRule>
    <cfRule type="cellIs" dxfId="503" priority="487" operator="equal">
      <formula>"SLED PENDING"</formula>
    </cfRule>
  </conditionalFormatting>
  <conditionalFormatting sqref="E5">
    <cfRule type="cellIs" dxfId="502" priority="485" operator="equal">
      <formula>"vendor question"</formula>
    </cfRule>
    <cfRule type="cellIs" dxfId="501" priority="486" operator="equal">
      <formula>"PATCH PENDING"</formula>
    </cfRule>
  </conditionalFormatting>
  <conditionalFormatting sqref="E5">
    <cfRule type="cellIs" dxfId="500" priority="480" operator="equal">
      <formula>"DISPUTE"</formula>
    </cfRule>
    <cfRule type="cellIs" dxfId="499" priority="481" operator="equal">
      <formula>"ver release date"</formula>
    </cfRule>
    <cfRule type="cellIs" dxfId="498" priority="482" operator="equal">
      <formula>"ver active warrant!"</formula>
    </cfRule>
  </conditionalFormatting>
  <conditionalFormatting sqref="E5">
    <cfRule type="cellIs" dxfId="497" priority="475" operator="equal">
      <formula>"CDCR RD request"</formula>
    </cfRule>
    <cfRule type="cellIs" dxfId="496" priority="476" operator="equal">
      <formula>"RD email request"</formula>
    </cfRule>
    <cfRule type="cellIs" dxfId="495" priority="479" operator="equal">
      <formula>"SLED PENDING"</formula>
    </cfRule>
  </conditionalFormatting>
  <conditionalFormatting sqref="E5">
    <cfRule type="cellIs" dxfId="494" priority="477" operator="equal">
      <formula>"vendor question"</formula>
    </cfRule>
    <cfRule type="cellIs" dxfId="493" priority="478" operator="equal">
      <formula>"PATCH PENDING"</formula>
    </cfRule>
  </conditionalFormatting>
  <conditionalFormatting sqref="E5">
    <cfRule type="cellIs" dxfId="492" priority="472" operator="equal">
      <formula>"DISPUTE"</formula>
    </cfRule>
    <cfRule type="cellIs" dxfId="491" priority="473" operator="equal">
      <formula>"ver release date"</formula>
    </cfRule>
    <cfRule type="cellIs" dxfId="490" priority="474" operator="equal">
      <formula>"ver active warrant!"</formula>
    </cfRule>
  </conditionalFormatting>
  <conditionalFormatting sqref="E5">
    <cfRule type="cellIs" dxfId="489" priority="467" operator="equal">
      <formula>"CDCR RD request"</formula>
    </cfRule>
    <cfRule type="cellIs" dxfId="488" priority="468" operator="equal">
      <formula>"RD email request"</formula>
    </cfRule>
    <cfRule type="cellIs" dxfId="487" priority="471" operator="equal">
      <formula>"SLED PENDING"</formula>
    </cfRule>
  </conditionalFormatting>
  <conditionalFormatting sqref="E5">
    <cfRule type="cellIs" dxfId="486" priority="469" operator="equal">
      <formula>"vendor question"</formula>
    </cfRule>
    <cfRule type="cellIs" dxfId="485" priority="470" operator="equal">
      <formula>"PATCH PENDING"</formula>
    </cfRule>
  </conditionalFormatting>
  <conditionalFormatting sqref="E5">
    <cfRule type="cellIs" dxfId="484" priority="464" operator="equal">
      <formula>"DISPUTE"</formula>
    </cfRule>
    <cfRule type="cellIs" dxfId="483" priority="465" operator="equal">
      <formula>"ver release date"</formula>
    </cfRule>
    <cfRule type="cellIs" dxfId="482" priority="466" operator="equal">
      <formula>"ver active warrant!"</formula>
    </cfRule>
  </conditionalFormatting>
  <conditionalFormatting sqref="E5">
    <cfRule type="cellIs" dxfId="481" priority="459" operator="equal">
      <formula>"CDCR RD request"</formula>
    </cfRule>
    <cfRule type="cellIs" dxfId="480" priority="460" operator="equal">
      <formula>"RD email request"</formula>
    </cfRule>
    <cfRule type="cellIs" dxfId="479" priority="463" operator="equal">
      <formula>"SLED PENDING"</formula>
    </cfRule>
  </conditionalFormatting>
  <conditionalFormatting sqref="E5">
    <cfRule type="cellIs" dxfId="478" priority="461" operator="equal">
      <formula>"vendor question"</formula>
    </cfRule>
    <cfRule type="cellIs" dxfId="477" priority="462" operator="equal">
      <formula>"PATCH PENDING"</formula>
    </cfRule>
  </conditionalFormatting>
  <conditionalFormatting sqref="E5">
    <cfRule type="cellIs" dxfId="476" priority="456" operator="equal">
      <formula>"DISPUTE"</formula>
    </cfRule>
    <cfRule type="cellIs" dxfId="475" priority="457" operator="equal">
      <formula>"ver release date"</formula>
    </cfRule>
    <cfRule type="cellIs" dxfId="474" priority="458" operator="equal">
      <formula>"ver active warrant!"</formula>
    </cfRule>
  </conditionalFormatting>
  <conditionalFormatting sqref="E5">
    <cfRule type="cellIs" dxfId="473" priority="451" operator="equal">
      <formula>"CDCR RD request"</formula>
    </cfRule>
    <cfRule type="cellIs" dxfId="472" priority="452" operator="equal">
      <formula>"RD email request"</formula>
    </cfRule>
    <cfRule type="cellIs" dxfId="471" priority="455" operator="equal">
      <formula>"SLED PENDING"</formula>
    </cfRule>
  </conditionalFormatting>
  <conditionalFormatting sqref="E5">
    <cfRule type="cellIs" dxfId="470" priority="453" operator="equal">
      <formula>"vendor question"</formula>
    </cfRule>
    <cfRule type="cellIs" dxfId="469" priority="454" operator="equal">
      <formula>"PATCH PENDING"</formula>
    </cfRule>
  </conditionalFormatting>
  <conditionalFormatting sqref="E5">
    <cfRule type="cellIs" dxfId="468" priority="448" operator="equal">
      <formula>"DISPUTE"</formula>
    </cfRule>
    <cfRule type="cellIs" dxfId="467" priority="449" operator="equal">
      <formula>"ver release date"</formula>
    </cfRule>
    <cfRule type="cellIs" dxfId="466" priority="450" operator="equal">
      <formula>"ver active warrant!"</formula>
    </cfRule>
  </conditionalFormatting>
  <conditionalFormatting sqref="E5">
    <cfRule type="cellIs" dxfId="465" priority="443" operator="equal">
      <formula>"CDCR RD request"</formula>
    </cfRule>
    <cfRule type="cellIs" dxfId="464" priority="444" operator="equal">
      <formula>"RD email request"</formula>
    </cfRule>
    <cfRule type="cellIs" dxfId="463" priority="447" operator="equal">
      <formula>"SLED PENDING"</formula>
    </cfRule>
  </conditionalFormatting>
  <conditionalFormatting sqref="E5">
    <cfRule type="cellIs" dxfId="462" priority="445" operator="equal">
      <formula>"vendor question"</formula>
    </cfRule>
    <cfRule type="cellIs" dxfId="461" priority="446" operator="equal">
      <formula>"PATCH PENDING"</formula>
    </cfRule>
  </conditionalFormatting>
  <conditionalFormatting sqref="E5">
    <cfRule type="cellIs" dxfId="460" priority="440" operator="equal">
      <formula>"DISPUTE"</formula>
    </cfRule>
    <cfRule type="cellIs" dxfId="459" priority="441" operator="equal">
      <formula>"ver release date"</formula>
    </cfRule>
    <cfRule type="cellIs" dxfId="458" priority="442" operator="equal">
      <formula>"ver active warrant!"</formula>
    </cfRule>
  </conditionalFormatting>
  <conditionalFormatting sqref="E5">
    <cfRule type="cellIs" dxfId="457" priority="435" operator="equal">
      <formula>"CDCR RD request"</formula>
    </cfRule>
    <cfRule type="cellIs" dxfId="456" priority="436" operator="equal">
      <formula>"RD email request"</formula>
    </cfRule>
    <cfRule type="cellIs" dxfId="455" priority="439" operator="equal">
      <formula>"SLED PENDING"</formula>
    </cfRule>
  </conditionalFormatting>
  <conditionalFormatting sqref="E5">
    <cfRule type="cellIs" dxfId="454" priority="437" operator="equal">
      <formula>"vendor question"</formula>
    </cfRule>
    <cfRule type="cellIs" dxfId="453" priority="438" operator="equal">
      <formula>"PATCH PENDING"</formula>
    </cfRule>
  </conditionalFormatting>
  <conditionalFormatting sqref="E5">
    <cfRule type="cellIs" dxfId="452" priority="432" operator="equal">
      <formula>"DISPUTE"</formula>
    </cfRule>
    <cfRule type="cellIs" dxfId="451" priority="433" operator="equal">
      <formula>"ver release date"</formula>
    </cfRule>
    <cfRule type="cellIs" dxfId="450" priority="434" operator="equal">
      <formula>"ver active warrant!"</formula>
    </cfRule>
  </conditionalFormatting>
  <conditionalFormatting sqref="E5">
    <cfRule type="cellIs" dxfId="449" priority="427" operator="equal">
      <formula>"CDCR RD request"</formula>
    </cfRule>
    <cfRule type="cellIs" dxfId="448" priority="428" operator="equal">
      <formula>"RD email request"</formula>
    </cfRule>
    <cfRule type="cellIs" dxfId="447" priority="431" operator="equal">
      <formula>"SLED PENDING"</formula>
    </cfRule>
  </conditionalFormatting>
  <conditionalFormatting sqref="E5">
    <cfRule type="cellIs" dxfId="446" priority="429" operator="equal">
      <formula>"vendor question"</formula>
    </cfRule>
    <cfRule type="cellIs" dxfId="445" priority="430" operator="equal">
      <formula>"PATCH PENDING"</formula>
    </cfRule>
  </conditionalFormatting>
  <conditionalFormatting sqref="E5">
    <cfRule type="cellIs" dxfId="444" priority="424" operator="equal">
      <formula>"DISPUTE"</formula>
    </cfRule>
    <cfRule type="cellIs" dxfId="443" priority="425" operator="equal">
      <formula>"ver release date"</formula>
    </cfRule>
    <cfRule type="cellIs" dxfId="442" priority="426" operator="equal">
      <formula>"ver active warrant!"</formula>
    </cfRule>
  </conditionalFormatting>
  <conditionalFormatting sqref="E5">
    <cfRule type="cellIs" dxfId="441" priority="419" operator="equal">
      <formula>"CDCR RD request"</formula>
    </cfRule>
    <cfRule type="cellIs" dxfId="440" priority="420" operator="equal">
      <formula>"RD email request"</formula>
    </cfRule>
    <cfRule type="cellIs" dxfId="439" priority="423" operator="equal">
      <formula>"SLED PENDING"</formula>
    </cfRule>
  </conditionalFormatting>
  <conditionalFormatting sqref="E5">
    <cfRule type="cellIs" dxfId="438" priority="421" operator="equal">
      <formula>"vendor question"</formula>
    </cfRule>
    <cfRule type="cellIs" dxfId="437" priority="422" operator="equal">
      <formula>"PATCH PENDING"</formula>
    </cfRule>
  </conditionalFormatting>
  <conditionalFormatting sqref="E5">
    <cfRule type="cellIs" dxfId="436" priority="416" operator="equal">
      <formula>"DISPUTE"</formula>
    </cfRule>
    <cfRule type="cellIs" dxfId="435" priority="417" operator="equal">
      <formula>"ver release date"</formula>
    </cfRule>
    <cfRule type="cellIs" dxfId="434" priority="418" operator="equal">
      <formula>"ver active warrant!"</formula>
    </cfRule>
  </conditionalFormatting>
  <conditionalFormatting sqref="E5">
    <cfRule type="cellIs" dxfId="433" priority="411" operator="equal">
      <formula>"CDCR RD request"</formula>
    </cfRule>
    <cfRule type="cellIs" dxfId="432" priority="412" operator="equal">
      <formula>"RD email request"</formula>
    </cfRule>
    <cfRule type="cellIs" dxfId="431" priority="415" operator="equal">
      <formula>"SLED PENDING"</formula>
    </cfRule>
  </conditionalFormatting>
  <conditionalFormatting sqref="E5">
    <cfRule type="cellIs" dxfId="430" priority="413" operator="equal">
      <formula>"vendor question"</formula>
    </cfRule>
    <cfRule type="cellIs" dxfId="429" priority="414" operator="equal">
      <formula>"PATCH PENDING"</formula>
    </cfRule>
  </conditionalFormatting>
  <conditionalFormatting sqref="E7">
    <cfRule type="cellIs" dxfId="428" priority="158" operator="equal">
      <formula>"DISPUTE"</formula>
    </cfRule>
    <cfRule type="cellIs" dxfId="427" priority="159" operator="equal">
      <formula>"ver release date"</formula>
    </cfRule>
    <cfRule type="cellIs" dxfId="426" priority="160" operator="equal">
      <formula>"ver active warrant!"</formula>
    </cfRule>
  </conditionalFormatting>
  <conditionalFormatting sqref="E7">
    <cfRule type="cellIs" dxfId="425" priority="153" operator="equal">
      <formula>"CDCR RD request"</formula>
    </cfRule>
    <cfRule type="cellIs" dxfId="424" priority="154" operator="equal">
      <formula>"RD email request"</formula>
    </cfRule>
    <cfRule type="cellIs" dxfId="423" priority="157" operator="equal">
      <formula>"SLED PENDING"</formula>
    </cfRule>
  </conditionalFormatting>
  <conditionalFormatting sqref="E7">
    <cfRule type="cellIs" dxfId="422" priority="155" operator="equal">
      <formula>"vendor question"</formula>
    </cfRule>
    <cfRule type="cellIs" dxfId="421" priority="156" operator="equal">
      <formula>"PATCH PENDING"</formula>
    </cfRule>
  </conditionalFormatting>
  <conditionalFormatting sqref="E7">
    <cfRule type="cellIs" dxfId="420" priority="150" operator="equal">
      <formula>"DISPUTE"</formula>
    </cfRule>
    <cfRule type="cellIs" dxfId="419" priority="151" operator="equal">
      <formula>"ver release date"</formula>
    </cfRule>
    <cfRule type="cellIs" dxfId="418" priority="152" operator="equal">
      <formula>"ver active warrant!"</formula>
    </cfRule>
  </conditionalFormatting>
  <conditionalFormatting sqref="E7">
    <cfRule type="cellIs" dxfId="417" priority="145" operator="equal">
      <formula>"CDCR RD request"</formula>
    </cfRule>
    <cfRule type="cellIs" dxfId="416" priority="146" operator="equal">
      <formula>"RD email request"</formula>
    </cfRule>
    <cfRule type="cellIs" dxfId="415" priority="149" operator="equal">
      <formula>"SLED PENDING"</formula>
    </cfRule>
  </conditionalFormatting>
  <conditionalFormatting sqref="E7">
    <cfRule type="cellIs" dxfId="414" priority="147" operator="equal">
      <formula>"vendor question"</formula>
    </cfRule>
    <cfRule type="cellIs" dxfId="413" priority="148" operator="equal">
      <formula>"PATCH PENDING"</formula>
    </cfRule>
  </conditionalFormatting>
  <conditionalFormatting sqref="E7">
    <cfRule type="cellIs" dxfId="412" priority="142" operator="equal">
      <formula>"DISPUTE"</formula>
    </cfRule>
    <cfRule type="cellIs" dxfId="411" priority="143" operator="equal">
      <formula>"ver release date"</formula>
    </cfRule>
    <cfRule type="cellIs" dxfId="410" priority="144" operator="equal">
      <formula>"ver active warrant!"</formula>
    </cfRule>
  </conditionalFormatting>
  <conditionalFormatting sqref="E7">
    <cfRule type="cellIs" dxfId="409" priority="137" operator="equal">
      <formula>"CDCR RD request"</formula>
    </cfRule>
    <cfRule type="cellIs" dxfId="408" priority="138" operator="equal">
      <formula>"RD email request"</formula>
    </cfRule>
    <cfRule type="cellIs" dxfId="407" priority="141" operator="equal">
      <formula>"SLED PENDING"</formula>
    </cfRule>
  </conditionalFormatting>
  <conditionalFormatting sqref="E7">
    <cfRule type="cellIs" dxfId="406" priority="139" operator="equal">
      <formula>"vendor question"</formula>
    </cfRule>
    <cfRule type="cellIs" dxfId="405" priority="140" operator="equal">
      <formula>"PATCH PENDING"</formula>
    </cfRule>
  </conditionalFormatting>
  <conditionalFormatting sqref="E7">
    <cfRule type="cellIs" dxfId="404" priority="134" operator="equal">
      <formula>"DISPUTE"</formula>
    </cfRule>
    <cfRule type="cellIs" dxfId="403" priority="135" operator="equal">
      <formula>"ver release date"</formula>
    </cfRule>
    <cfRule type="cellIs" dxfId="402" priority="136" operator="equal">
      <formula>"ver active warrant!"</formula>
    </cfRule>
  </conditionalFormatting>
  <conditionalFormatting sqref="E7">
    <cfRule type="cellIs" dxfId="401" priority="129" operator="equal">
      <formula>"CDCR RD request"</formula>
    </cfRule>
    <cfRule type="cellIs" dxfId="400" priority="130" operator="equal">
      <formula>"RD email request"</formula>
    </cfRule>
    <cfRule type="cellIs" dxfId="399" priority="133" operator="equal">
      <formula>"SLED PENDING"</formula>
    </cfRule>
  </conditionalFormatting>
  <conditionalFormatting sqref="E7">
    <cfRule type="cellIs" dxfId="398" priority="131" operator="equal">
      <formula>"vendor question"</formula>
    </cfRule>
    <cfRule type="cellIs" dxfId="397" priority="132" operator="equal">
      <formula>"PATCH PENDING"</formula>
    </cfRule>
  </conditionalFormatting>
  <conditionalFormatting sqref="E7">
    <cfRule type="cellIs" dxfId="396" priority="126" operator="equal">
      <formula>"DISPUTE"</formula>
    </cfRule>
    <cfRule type="cellIs" dxfId="395" priority="127" operator="equal">
      <formula>"ver release date"</formula>
    </cfRule>
    <cfRule type="cellIs" dxfId="394" priority="128" operator="equal">
      <formula>"ver active warrant!"</formula>
    </cfRule>
  </conditionalFormatting>
  <conditionalFormatting sqref="E7">
    <cfRule type="cellIs" dxfId="393" priority="121" operator="equal">
      <formula>"CDCR RD request"</formula>
    </cfRule>
    <cfRule type="cellIs" dxfId="392" priority="122" operator="equal">
      <formula>"RD email request"</formula>
    </cfRule>
    <cfRule type="cellIs" dxfId="391" priority="125" operator="equal">
      <formula>"SLED PENDING"</formula>
    </cfRule>
  </conditionalFormatting>
  <conditionalFormatting sqref="E7">
    <cfRule type="cellIs" dxfId="390" priority="123" operator="equal">
      <formula>"vendor question"</formula>
    </cfRule>
    <cfRule type="cellIs" dxfId="389" priority="124" operator="equal">
      <formula>"PATCH PENDING"</formula>
    </cfRule>
  </conditionalFormatting>
  <conditionalFormatting sqref="E7">
    <cfRule type="cellIs" dxfId="388" priority="118" operator="equal">
      <formula>"DISPUTE"</formula>
    </cfRule>
    <cfRule type="cellIs" dxfId="387" priority="119" operator="equal">
      <formula>"ver release date"</formula>
    </cfRule>
    <cfRule type="cellIs" dxfId="386" priority="120" operator="equal">
      <formula>"ver active warrant!"</formula>
    </cfRule>
  </conditionalFormatting>
  <conditionalFormatting sqref="E7">
    <cfRule type="cellIs" dxfId="385" priority="113" operator="equal">
      <formula>"CDCR RD request"</formula>
    </cfRule>
    <cfRule type="cellIs" dxfId="384" priority="114" operator="equal">
      <formula>"RD email request"</formula>
    </cfRule>
    <cfRule type="cellIs" dxfId="383" priority="117" operator="equal">
      <formula>"SLED PENDING"</formula>
    </cfRule>
  </conditionalFormatting>
  <conditionalFormatting sqref="E7">
    <cfRule type="cellIs" dxfId="382" priority="115" operator="equal">
      <formula>"vendor question"</formula>
    </cfRule>
    <cfRule type="cellIs" dxfId="381" priority="116" operator="equal">
      <formula>"PATCH PENDING"</formula>
    </cfRule>
  </conditionalFormatting>
  <conditionalFormatting sqref="E7">
    <cfRule type="cellIs" dxfId="380" priority="110" operator="equal">
      <formula>"DISPUTE"</formula>
    </cfRule>
    <cfRule type="cellIs" dxfId="379" priority="111" operator="equal">
      <formula>"ver release date"</formula>
    </cfRule>
    <cfRule type="cellIs" dxfId="378" priority="112" operator="equal">
      <formula>"ver active warrant!"</formula>
    </cfRule>
  </conditionalFormatting>
  <conditionalFormatting sqref="E7">
    <cfRule type="cellIs" dxfId="377" priority="105" operator="equal">
      <formula>"CDCR RD request"</formula>
    </cfRule>
    <cfRule type="cellIs" dxfId="376" priority="106" operator="equal">
      <formula>"RD email request"</formula>
    </cfRule>
    <cfRule type="cellIs" dxfId="375" priority="109" operator="equal">
      <formula>"SLED PENDING"</formula>
    </cfRule>
  </conditionalFormatting>
  <conditionalFormatting sqref="E7">
    <cfRule type="cellIs" dxfId="374" priority="107" operator="equal">
      <formula>"vendor question"</formula>
    </cfRule>
    <cfRule type="cellIs" dxfId="373" priority="108" operator="equal">
      <formula>"PATCH PENDING"</formula>
    </cfRule>
  </conditionalFormatting>
  <conditionalFormatting sqref="E7">
    <cfRule type="cellIs" dxfId="372" priority="102" operator="equal">
      <formula>"DISPUTE"</formula>
    </cfRule>
    <cfRule type="cellIs" dxfId="371" priority="103" operator="equal">
      <formula>"ver release date"</formula>
    </cfRule>
    <cfRule type="cellIs" dxfId="370" priority="104" operator="equal">
      <formula>"ver active warrant!"</formula>
    </cfRule>
  </conditionalFormatting>
  <conditionalFormatting sqref="E7">
    <cfRule type="cellIs" dxfId="369" priority="97" operator="equal">
      <formula>"CDCR RD request"</formula>
    </cfRule>
    <cfRule type="cellIs" dxfId="368" priority="98" operator="equal">
      <formula>"RD email request"</formula>
    </cfRule>
    <cfRule type="cellIs" dxfId="367" priority="101" operator="equal">
      <formula>"SLED PENDING"</formula>
    </cfRule>
  </conditionalFormatting>
  <conditionalFormatting sqref="E7">
    <cfRule type="cellIs" dxfId="366" priority="99" operator="equal">
      <formula>"vendor question"</formula>
    </cfRule>
    <cfRule type="cellIs" dxfId="365" priority="100" operator="equal">
      <formula>"PATCH PENDING"</formula>
    </cfRule>
  </conditionalFormatting>
  <conditionalFormatting sqref="E7">
    <cfRule type="cellIs" dxfId="364" priority="94" operator="equal">
      <formula>"DISPUTE"</formula>
    </cfRule>
    <cfRule type="cellIs" dxfId="363" priority="95" operator="equal">
      <formula>"ver release date"</formula>
    </cfRule>
    <cfRule type="cellIs" dxfId="362" priority="96" operator="equal">
      <formula>"ver active warrant!"</formula>
    </cfRule>
  </conditionalFormatting>
  <conditionalFormatting sqref="E7">
    <cfRule type="cellIs" dxfId="361" priority="89" operator="equal">
      <formula>"CDCR RD request"</formula>
    </cfRule>
    <cfRule type="cellIs" dxfId="360" priority="90" operator="equal">
      <formula>"RD email request"</formula>
    </cfRule>
    <cfRule type="cellIs" dxfId="359" priority="93" operator="equal">
      <formula>"SLED PENDING"</formula>
    </cfRule>
  </conditionalFormatting>
  <conditionalFormatting sqref="E7">
    <cfRule type="cellIs" dxfId="358" priority="91" operator="equal">
      <formula>"vendor question"</formula>
    </cfRule>
    <cfRule type="cellIs" dxfId="357" priority="92" operator="equal">
      <formula>"PATCH PENDING"</formula>
    </cfRule>
  </conditionalFormatting>
  <conditionalFormatting sqref="E7">
    <cfRule type="cellIs" dxfId="356" priority="86" operator="equal">
      <formula>"DISPUTE"</formula>
    </cfRule>
    <cfRule type="cellIs" dxfId="355" priority="87" operator="equal">
      <formula>"ver release date"</formula>
    </cfRule>
    <cfRule type="cellIs" dxfId="354" priority="88" operator="equal">
      <formula>"ver active warrant!"</formula>
    </cfRule>
  </conditionalFormatting>
  <conditionalFormatting sqref="E7">
    <cfRule type="cellIs" dxfId="353" priority="81" operator="equal">
      <formula>"CDCR RD request"</formula>
    </cfRule>
    <cfRule type="cellIs" dxfId="352" priority="82" operator="equal">
      <formula>"RD email request"</formula>
    </cfRule>
    <cfRule type="cellIs" dxfId="351" priority="85" operator="equal">
      <formula>"SLED PENDING"</formula>
    </cfRule>
  </conditionalFormatting>
  <conditionalFormatting sqref="E7">
    <cfRule type="cellIs" dxfId="350" priority="83" operator="equal">
      <formula>"vendor question"</formula>
    </cfRule>
    <cfRule type="cellIs" dxfId="349" priority="84" operator="equal">
      <formula>"PATCH PENDING"</formula>
    </cfRule>
  </conditionalFormatting>
  <conditionalFormatting sqref="E8">
    <cfRule type="cellIs" dxfId="348" priority="78" operator="equal">
      <formula>"DISPUTE"</formula>
    </cfRule>
    <cfRule type="cellIs" dxfId="347" priority="79" operator="equal">
      <formula>"ver release date"</formula>
    </cfRule>
    <cfRule type="cellIs" dxfId="346" priority="80" operator="equal">
      <formula>"ver active warrant!"</formula>
    </cfRule>
  </conditionalFormatting>
  <conditionalFormatting sqref="E8">
    <cfRule type="cellIs" dxfId="345" priority="73" operator="equal">
      <formula>"CDCR RD request"</formula>
    </cfRule>
    <cfRule type="cellIs" dxfId="344" priority="74" operator="equal">
      <formula>"RD email request"</formula>
    </cfRule>
    <cfRule type="cellIs" dxfId="343" priority="77" operator="equal">
      <formula>"SLED PENDING"</formula>
    </cfRule>
  </conditionalFormatting>
  <conditionalFormatting sqref="E8">
    <cfRule type="cellIs" dxfId="342" priority="75" operator="equal">
      <formula>"vendor question"</formula>
    </cfRule>
    <cfRule type="cellIs" dxfId="341" priority="76" operator="equal">
      <formula>"PATCH PENDING"</formula>
    </cfRule>
  </conditionalFormatting>
  <conditionalFormatting sqref="E8">
    <cfRule type="cellIs" dxfId="340" priority="70" operator="equal">
      <formula>"DISPUTE"</formula>
    </cfRule>
    <cfRule type="cellIs" dxfId="339" priority="71" operator="equal">
      <formula>"ver release date"</formula>
    </cfRule>
    <cfRule type="cellIs" dxfId="338" priority="72" operator="equal">
      <formula>"ver active warrant!"</formula>
    </cfRule>
  </conditionalFormatting>
  <conditionalFormatting sqref="E8">
    <cfRule type="cellIs" dxfId="337" priority="65" operator="equal">
      <formula>"CDCR RD request"</formula>
    </cfRule>
    <cfRule type="cellIs" dxfId="336" priority="66" operator="equal">
      <formula>"RD email request"</formula>
    </cfRule>
    <cfRule type="cellIs" dxfId="335" priority="69" operator="equal">
      <formula>"SLED PENDING"</formula>
    </cfRule>
  </conditionalFormatting>
  <conditionalFormatting sqref="E8">
    <cfRule type="cellIs" dxfId="334" priority="67" operator="equal">
      <formula>"vendor question"</formula>
    </cfRule>
    <cfRule type="cellIs" dxfId="333" priority="68" operator="equal">
      <formula>"PATCH PENDING"</formula>
    </cfRule>
  </conditionalFormatting>
  <conditionalFormatting sqref="E8">
    <cfRule type="cellIs" dxfId="332" priority="62" operator="equal">
      <formula>"DISPUTE"</formula>
    </cfRule>
    <cfRule type="cellIs" dxfId="331" priority="63" operator="equal">
      <formula>"ver release date"</formula>
    </cfRule>
    <cfRule type="cellIs" dxfId="330" priority="64" operator="equal">
      <formula>"ver active warrant!"</formula>
    </cfRule>
  </conditionalFormatting>
  <conditionalFormatting sqref="E8">
    <cfRule type="cellIs" dxfId="329" priority="57" operator="equal">
      <formula>"CDCR RD request"</formula>
    </cfRule>
    <cfRule type="cellIs" dxfId="328" priority="58" operator="equal">
      <formula>"RD email request"</formula>
    </cfRule>
    <cfRule type="cellIs" dxfId="327" priority="61" operator="equal">
      <formula>"SLED PENDING"</formula>
    </cfRule>
  </conditionalFormatting>
  <conditionalFormatting sqref="E8">
    <cfRule type="cellIs" dxfId="326" priority="59" operator="equal">
      <formula>"vendor question"</formula>
    </cfRule>
    <cfRule type="cellIs" dxfId="325" priority="60" operator="equal">
      <formula>"PATCH PENDING"</formula>
    </cfRule>
  </conditionalFormatting>
  <conditionalFormatting sqref="E8">
    <cfRule type="cellIs" dxfId="324" priority="54" operator="equal">
      <formula>"DISPUTE"</formula>
    </cfRule>
    <cfRule type="cellIs" dxfId="323" priority="55" operator="equal">
      <formula>"ver release date"</formula>
    </cfRule>
    <cfRule type="cellIs" dxfId="322" priority="56" operator="equal">
      <formula>"ver active warrant!"</formula>
    </cfRule>
  </conditionalFormatting>
  <conditionalFormatting sqref="E8">
    <cfRule type="cellIs" dxfId="321" priority="49" operator="equal">
      <formula>"CDCR RD request"</formula>
    </cfRule>
    <cfRule type="cellIs" dxfId="320" priority="50" operator="equal">
      <formula>"RD email request"</formula>
    </cfRule>
    <cfRule type="cellIs" dxfId="319" priority="53" operator="equal">
      <formula>"SLED PENDING"</formula>
    </cfRule>
  </conditionalFormatting>
  <conditionalFormatting sqref="E8">
    <cfRule type="cellIs" dxfId="318" priority="51" operator="equal">
      <formula>"vendor question"</formula>
    </cfRule>
    <cfRule type="cellIs" dxfId="317" priority="52" operator="equal">
      <formula>"PATCH PENDING"</formula>
    </cfRule>
  </conditionalFormatting>
  <conditionalFormatting sqref="E8">
    <cfRule type="cellIs" dxfId="316" priority="46" operator="equal">
      <formula>"DISPUTE"</formula>
    </cfRule>
    <cfRule type="cellIs" dxfId="315" priority="47" operator="equal">
      <formula>"ver release date"</formula>
    </cfRule>
    <cfRule type="cellIs" dxfId="314" priority="48" operator="equal">
      <formula>"ver active warrant!"</formula>
    </cfRule>
  </conditionalFormatting>
  <conditionalFormatting sqref="E8">
    <cfRule type="cellIs" dxfId="313" priority="41" operator="equal">
      <formula>"CDCR RD request"</formula>
    </cfRule>
    <cfRule type="cellIs" dxfId="312" priority="42" operator="equal">
      <formula>"RD email request"</formula>
    </cfRule>
    <cfRule type="cellIs" dxfId="311" priority="45" operator="equal">
      <formula>"SLED PENDING"</formula>
    </cfRule>
  </conditionalFormatting>
  <conditionalFormatting sqref="E8">
    <cfRule type="cellIs" dxfId="310" priority="43" operator="equal">
      <formula>"vendor question"</formula>
    </cfRule>
    <cfRule type="cellIs" dxfId="309" priority="44" operator="equal">
      <formula>"PATCH PENDING"</formula>
    </cfRule>
  </conditionalFormatting>
  <conditionalFormatting sqref="E8">
    <cfRule type="cellIs" dxfId="308" priority="38" operator="equal">
      <formula>"DISPUTE"</formula>
    </cfRule>
    <cfRule type="cellIs" dxfId="307" priority="39" operator="equal">
      <formula>"ver release date"</formula>
    </cfRule>
    <cfRule type="cellIs" dxfId="306" priority="40" operator="equal">
      <formula>"ver active warrant!"</formula>
    </cfRule>
  </conditionalFormatting>
  <conditionalFormatting sqref="E8">
    <cfRule type="cellIs" dxfId="305" priority="33" operator="equal">
      <formula>"CDCR RD request"</formula>
    </cfRule>
    <cfRule type="cellIs" dxfId="304" priority="34" operator="equal">
      <formula>"RD email request"</formula>
    </cfRule>
    <cfRule type="cellIs" dxfId="303" priority="37" operator="equal">
      <formula>"SLED PENDING"</formula>
    </cfRule>
  </conditionalFormatting>
  <conditionalFormatting sqref="E8">
    <cfRule type="cellIs" dxfId="302" priority="35" operator="equal">
      <formula>"vendor question"</formula>
    </cfRule>
    <cfRule type="cellIs" dxfId="301" priority="36" operator="equal">
      <formula>"PATCH PENDING"</formula>
    </cfRule>
  </conditionalFormatting>
  <conditionalFormatting sqref="E8">
    <cfRule type="cellIs" dxfId="300" priority="30" operator="equal">
      <formula>"DISPUTE"</formula>
    </cfRule>
    <cfRule type="cellIs" dxfId="299" priority="31" operator="equal">
      <formula>"ver release date"</formula>
    </cfRule>
    <cfRule type="cellIs" dxfId="298" priority="32" operator="equal">
      <formula>"ver active warrant!"</formula>
    </cfRule>
  </conditionalFormatting>
  <conditionalFormatting sqref="E8">
    <cfRule type="cellIs" dxfId="297" priority="25" operator="equal">
      <formula>"CDCR RD request"</formula>
    </cfRule>
    <cfRule type="cellIs" dxfId="296" priority="26" operator="equal">
      <formula>"RD email request"</formula>
    </cfRule>
    <cfRule type="cellIs" dxfId="295" priority="29" operator="equal">
      <formula>"SLED PENDING"</formula>
    </cfRule>
  </conditionalFormatting>
  <conditionalFormatting sqref="E8">
    <cfRule type="cellIs" dxfId="294" priority="27" operator="equal">
      <formula>"vendor question"</formula>
    </cfRule>
    <cfRule type="cellIs" dxfId="293" priority="28" operator="equal">
      <formula>"PATCH PENDING"</formula>
    </cfRule>
  </conditionalFormatting>
  <conditionalFormatting sqref="E8">
    <cfRule type="cellIs" dxfId="292" priority="22" operator="equal">
      <formula>"DISPUTE"</formula>
    </cfRule>
    <cfRule type="cellIs" dxfId="291" priority="23" operator="equal">
      <formula>"ver release date"</formula>
    </cfRule>
    <cfRule type="cellIs" dxfId="290" priority="24" operator="equal">
      <formula>"ver active warrant!"</formula>
    </cfRule>
  </conditionalFormatting>
  <conditionalFormatting sqref="E8">
    <cfRule type="cellIs" dxfId="289" priority="17" operator="equal">
      <formula>"CDCR RD request"</formula>
    </cfRule>
    <cfRule type="cellIs" dxfId="288" priority="18" operator="equal">
      <formula>"RD email request"</formula>
    </cfRule>
    <cfRule type="cellIs" dxfId="287" priority="21" operator="equal">
      <formula>"SLED PENDING"</formula>
    </cfRule>
  </conditionalFormatting>
  <conditionalFormatting sqref="E8">
    <cfRule type="cellIs" dxfId="286" priority="19" operator="equal">
      <formula>"vendor question"</formula>
    </cfRule>
    <cfRule type="cellIs" dxfId="285" priority="20" operator="equal">
      <formula>"PATCH PENDING"</formula>
    </cfRule>
  </conditionalFormatting>
  <conditionalFormatting sqref="E8">
    <cfRule type="cellIs" dxfId="284" priority="14" operator="equal">
      <formula>"DISPUTE"</formula>
    </cfRule>
    <cfRule type="cellIs" dxfId="283" priority="15" operator="equal">
      <formula>"ver release date"</formula>
    </cfRule>
    <cfRule type="cellIs" dxfId="282" priority="16" operator="equal">
      <formula>"ver active warrant!"</formula>
    </cfRule>
  </conditionalFormatting>
  <conditionalFormatting sqref="E8">
    <cfRule type="cellIs" dxfId="281" priority="9" operator="equal">
      <formula>"CDCR RD request"</formula>
    </cfRule>
    <cfRule type="cellIs" dxfId="280" priority="10" operator="equal">
      <formula>"RD email request"</formula>
    </cfRule>
    <cfRule type="cellIs" dxfId="279" priority="13" operator="equal">
      <formula>"SLED PENDING"</formula>
    </cfRule>
  </conditionalFormatting>
  <conditionalFormatting sqref="E8">
    <cfRule type="cellIs" dxfId="278" priority="11" operator="equal">
      <formula>"vendor question"</formula>
    </cfRule>
    <cfRule type="cellIs" dxfId="277" priority="12" operator="equal">
      <formula>"PATCH PENDING"</formula>
    </cfRule>
  </conditionalFormatting>
  <conditionalFormatting sqref="E8">
    <cfRule type="cellIs" dxfId="276" priority="6" operator="equal">
      <formula>"DISPUTE"</formula>
    </cfRule>
    <cfRule type="cellIs" dxfId="275" priority="7" operator="equal">
      <formula>"ver release date"</formula>
    </cfRule>
    <cfRule type="cellIs" dxfId="274" priority="8" operator="equal">
      <formula>"ver active warrant!"</formula>
    </cfRule>
  </conditionalFormatting>
  <conditionalFormatting sqref="E8">
    <cfRule type="cellIs" dxfId="273" priority="1" operator="equal">
      <formula>"CDCR RD request"</formula>
    </cfRule>
    <cfRule type="cellIs" dxfId="272" priority="2" operator="equal">
      <formula>"RD email request"</formula>
    </cfRule>
    <cfRule type="cellIs" dxfId="271" priority="5" operator="equal">
      <formula>"SLED PENDING"</formula>
    </cfRule>
  </conditionalFormatting>
  <conditionalFormatting sqref="E8">
    <cfRule type="cellIs" dxfId="270" priority="3" operator="equal">
      <formula>"vendor question"</formula>
    </cfRule>
    <cfRule type="cellIs" dxfId="269" priority="4" operator="equal">
      <formula>"PATCH PENDING"</formula>
    </cfRule>
  </conditionalFormatting>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cellIs" priority="3655" operator="equal" id="{18F849C9-0B4F-4C4E-8EFB-78A455F07C8A}">
            <xm:f>dropdown!$A$13</xm:f>
            <x14:dxf>
              <fill>
                <patternFill>
                  <bgColor rgb="FFE2A700"/>
                </patternFill>
              </fill>
            </x14:dxf>
          </x14:cfRule>
          <xm:sqref>E1:E1048576</xm:sqref>
        </x14:conditionalFormatting>
        <x14:conditionalFormatting xmlns:xm="http://schemas.microsoft.com/office/excel/2006/main">
          <x14:cfRule type="cellIs" priority="161" operator="equal" id="{11CF6155-AF7A-4CC8-861C-DCF3B8993C96}">
            <xm:f>dropdown!$A$11</xm:f>
            <x14:dxf>
              <font>
                <color auto="1"/>
              </font>
              <fill>
                <patternFill>
                  <bgColor rgb="FFFF7B66"/>
                </patternFill>
              </fill>
            </x14:dxf>
          </x14:cfRule>
          <xm:sqref>E1:E1048576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D74F6FC-6941-4F7B-A320-268855C9919C}">
          <x14:formula1>
            <xm:f>dropdown!$A$2:$A$11</xm:f>
          </x14:formula1>
          <xm:sqref>E1 E11:E1048576</xm:sqref>
        </x14:dataValidation>
        <x14:dataValidation type="list" allowBlank="1" showInputMessage="1" showErrorMessage="1" xr:uid="{3DB267CF-1581-4E9F-9113-BCC89DCDCAAD}">
          <x14:formula1>
            <xm:f>dropdown!$A$2:$A$35</xm:f>
          </x14:formula1>
          <xm:sqref>E2:E10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D2920-8E07-40F6-992B-3A3BC876DC6B}">
  <dimension ref="A1:S29"/>
  <sheetViews>
    <sheetView workbookViewId="0">
      <selection activeCell="M21" sqref="M21"/>
    </sheetView>
  </sheetViews>
  <sheetFormatPr defaultRowHeight="15"/>
  <cols>
    <col min="1" max="1" width="11.140625" style="11" customWidth="1"/>
    <col min="2" max="2" width="9.140625" style="11"/>
    <col min="3" max="3" width="1.42578125" style="11" customWidth="1"/>
    <col min="4" max="4" width="2.7109375" customWidth="1"/>
    <col min="5" max="5" width="11.7109375" customWidth="1"/>
    <col min="6" max="6" width="11.28515625" bestFit="1" customWidth="1"/>
    <col min="7" max="7" width="3.140625" customWidth="1"/>
    <col min="9" max="9" width="10.85546875" customWidth="1"/>
    <col min="11" max="11" width="2" customWidth="1"/>
    <col min="12" max="12" width="2" style="11" customWidth="1"/>
    <col min="13" max="13" width="44.7109375" customWidth="1"/>
  </cols>
  <sheetData>
    <row r="1" spans="1:19" ht="22.5" customHeight="1" thickBot="1">
      <c r="A1" s="11">
        <v>278347451</v>
      </c>
      <c r="B1" s="11" t="s">
        <v>880</v>
      </c>
      <c r="D1" s="497"/>
      <c r="E1" s="498" t="s">
        <v>939</v>
      </c>
      <c r="F1" s="499"/>
      <c r="G1" s="499"/>
      <c r="H1" s="499"/>
      <c r="I1" s="499"/>
      <c r="J1" s="499"/>
      <c r="K1" s="500"/>
    </row>
    <row r="2" spans="1:19" s="11" customFormat="1" ht="14.25" customHeight="1" thickBot="1">
      <c r="D2" s="501"/>
      <c r="E2" s="502"/>
      <c r="F2" s="502"/>
      <c r="G2" s="503"/>
      <c r="H2" s="502"/>
      <c r="I2" s="502"/>
      <c r="J2" s="502"/>
      <c r="K2" s="504"/>
    </row>
    <row r="3" spans="1:19" ht="19.5" thickBot="1">
      <c r="A3" s="11">
        <v>278343209</v>
      </c>
      <c r="B3" s="11" t="s">
        <v>880</v>
      </c>
      <c r="D3" s="505"/>
      <c r="E3" s="494" t="s">
        <v>757</v>
      </c>
      <c r="F3" s="494" t="s">
        <v>758</v>
      </c>
      <c r="G3" s="515"/>
      <c r="H3" s="512" t="s">
        <v>759</v>
      </c>
      <c r="I3" s="513"/>
      <c r="J3" s="514"/>
      <c r="K3" s="506"/>
      <c r="M3" s="84" t="s">
        <v>903</v>
      </c>
      <c r="O3" s="490" t="s">
        <v>933</v>
      </c>
      <c r="P3" s="491"/>
      <c r="Q3" s="491"/>
      <c r="R3" s="491"/>
      <c r="S3" s="492"/>
    </row>
    <row r="4" spans="1:19">
      <c r="A4" s="11">
        <v>278397667</v>
      </c>
      <c r="B4" s="11" t="s">
        <v>880</v>
      </c>
      <c r="D4" s="507"/>
      <c r="E4" s="493">
        <v>43181</v>
      </c>
      <c r="F4" s="493">
        <v>44400</v>
      </c>
      <c r="G4" s="516"/>
      <c r="H4" s="493" t="str">
        <f>DATEDIF(E4,F4,"d") &amp; " days"</f>
        <v>1219 days</v>
      </c>
      <c r="I4" s="493" t="str">
        <f>DATEDIF(E4,F4,"m")&amp;"  months"</f>
        <v>40  months</v>
      </c>
      <c r="J4" s="493" t="str">
        <f>DATEDIF(E4,F4,"y")&amp;" years"</f>
        <v>3 years</v>
      </c>
      <c r="K4" s="508"/>
      <c r="M4" s="348" t="s">
        <v>904</v>
      </c>
      <c r="O4" s="480" t="s">
        <v>930</v>
      </c>
      <c r="P4" s="481"/>
      <c r="Q4" s="481"/>
      <c r="R4" s="481"/>
      <c r="S4" s="482"/>
    </row>
    <row r="5" spans="1:19" ht="15" customHeight="1" thickBot="1">
      <c r="A5" s="11">
        <v>278336565</v>
      </c>
      <c r="B5" s="11" t="s">
        <v>880</v>
      </c>
      <c r="D5" s="509"/>
      <c r="E5" s="510"/>
      <c r="F5" s="510"/>
      <c r="G5" s="510"/>
      <c r="H5" s="510"/>
      <c r="I5" s="510"/>
      <c r="J5" s="510"/>
      <c r="K5" s="511" t="s">
        <v>6</v>
      </c>
      <c r="M5" s="349" t="s">
        <v>905</v>
      </c>
      <c r="N5" t="s">
        <v>6</v>
      </c>
      <c r="O5" s="480"/>
      <c r="P5" s="481"/>
      <c r="Q5" s="481"/>
      <c r="R5" s="481"/>
      <c r="S5" s="482"/>
    </row>
    <row r="6" spans="1:19">
      <c r="A6" s="11">
        <v>278299284</v>
      </c>
      <c r="B6" s="11" t="s">
        <v>880</v>
      </c>
      <c r="D6" s="11"/>
      <c r="E6" s="11"/>
      <c r="F6" s="11"/>
      <c r="G6" s="11"/>
      <c r="O6" s="480"/>
      <c r="P6" s="481"/>
      <c r="Q6" s="481"/>
      <c r="R6" s="481"/>
      <c r="S6" s="482"/>
    </row>
    <row r="7" spans="1:19">
      <c r="A7" s="11">
        <v>273003070</v>
      </c>
      <c r="B7" s="11" t="s">
        <v>880</v>
      </c>
      <c r="D7" s="11"/>
      <c r="E7" s="11"/>
      <c r="F7" s="11"/>
      <c r="G7" s="11"/>
      <c r="O7" s="480"/>
      <c r="P7" s="481"/>
      <c r="Q7" s="481"/>
      <c r="R7" s="481"/>
      <c r="S7" s="482"/>
    </row>
    <row r="8" spans="1:19">
      <c r="A8" s="11">
        <v>276750682</v>
      </c>
      <c r="B8" s="11" t="s">
        <v>882</v>
      </c>
      <c r="D8" s="11"/>
      <c r="E8" s="11"/>
      <c r="F8" s="11"/>
      <c r="G8" s="11"/>
      <c r="O8" s="480"/>
      <c r="P8" s="481"/>
      <c r="Q8" s="481"/>
      <c r="R8" s="481"/>
      <c r="S8" s="482"/>
    </row>
    <row r="9" spans="1:19">
      <c r="A9" s="11">
        <v>278882207</v>
      </c>
      <c r="B9" s="11" t="s">
        <v>882</v>
      </c>
      <c r="D9" s="11"/>
      <c r="E9" s="11"/>
      <c r="F9" s="11"/>
      <c r="G9" s="11"/>
      <c r="O9" s="480"/>
      <c r="P9" s="481"/>
      <c r="Q9" s="481"/>
      <c r="R9" s="481"/>
      <c r="S9" s="482"/>
    </row>
    <row r="10" spans="1:19">
      <c r="A10" s="11">
        <v>278198042</v>
      </c>
      <c r="B10" s="11" t="s">
        <v>881</v>
      </c>
      <c r="D10" s="11"/>
      <c r="F10" s="11"/>
      <c r="H10" s="11"/>
      <c r="O10" s="480"/>
      <c r="P10" s="481"/>
      <c r="Q10" s="481"/>
      <c r="R10" s="481"/>
      <c r="S10" s="482"/>
    </row>
    <row r="11" spans="1:19">
      <c r="A11" s="11">
        <v>278214694</v>
      </c>
      <c r="B11" s="11" t="s">
        <v>881</v>
      </c>
      <c r="D11" s="11"/>
      <c r="E11" s="11"/>
      <c r="F11" s="11"/>
      <c r="G11" s="11"/>
      <c r="O11" s="480"/>
      <c r="P11" s="481"/>
      <c r="Q11" s="481"/>
      <c r="R11" s="481"/>
      <c r="S11" s="482"/>
    </row>
    <row r="12" spans="1:19">
      <c r="A12" s="11">
        <v>278438483</v>
      </c>
      <c r="B12" s="11" t="s">
        <v>2</v>
      </c>
      <c r="D12" s="11"/>
      <c r="O12" s="480"/>
      <c r="P12" s="481"/>
      <c r="Q12" s="481"/>
      <c r="R12" s="481"/>
      <c r="S12" s="482"/>
    </row>
    <row r="13" spans="1:19">
      <c r="A13" s="11">
        <v>278804985</v>
      </c>
      <c r="B13" s="11" t="s">
        <v>883</v>
      </c>
      <c r="D13" s="11"/>
      <c r="O13" s="480"/>
      <c r="P13" s="481"/>
      <c r="Q13" s="481"/>
      <c r="R13" s="481"/>
      <c r="S13" s="482"/>
    </row>
    <row r="14" spans="1:19" ht="15.75" thickBot="1">
      <c r="A14" s="11">
        <v>278838091</v>
      </c>
      <c r="B14" s="11" t="s">
        <v>376</v>
      </c>
      <c r="D14" s="11"/>
      <c r="G14" s="11"/>
      <c r="O14" s="483"/>
      <c r="P14" s="484"/>
      <c r="Q14" s="484"/>
      <c r="R14" s="484"/>
      <c r="S14" s="485"/>
    </row>
    <row r="15" spans="1:19">
      <c r="A15" s="11">
        <v>278705076</v>
      </c>
      <c r="B15" s="11" t="s">
        <v>924</v>
      </c>
      <c r="D15" s="11"/>
      <c r="G15" s="11"/>
    </row>
    <row r="16" spans="1:19">
      <c r="A16" s="11">
        <v>278176593</v>
      </c>
      <c r="B16" s="11" t="s">
        <v>655</v>
      </c>
      <c r="D16" s="11"/>
      <c r="E16" s="11"/>
      <c r="G16" s="11"/>
      <c r="H16" s="262"/>
    </row>
    <row r="17" spans="1:8">
      <c r="A17" s="11">
        <v>278207612</v>
      </c>
      <c r="B17" s="11" t="s">
        <v>655</v>
      </c>
      <c r="E17" s="11"/>
      <c r="G17" s="11"/>
      <c r="H17" s="11"/>
    </row>
    <row r="18" spans="1:8">
      <c r="A18" s="11">
        <v>278874778</v>
      </c>
      <c r="B18" s="11" t="s">
        <v>655</v>
      </c>
      <c r="D18" s="11"/>
      <c r="E18" s="11"/>
    </row>
    <row r="19" spans="1:8">
      <c r="A19" s="11">
        <v>278870503</v>
      </c>
      <c r="B19" s="11" t="s">
        <v>884</v>
      </c>
      <c r="D19" s="11"/>
      <c r="E19" s="11"/>
    </row>
    <row r="20" spans="1:8">
      <c r="A20" s="11">
        <v>278370890</v>
      </c>
      <c r="B20" s="11" t="s">
        <v>857</v>
      </c>
      <c r="D20" s="11"/>
      <c r="E20" s="11"/>
    </row>
    <row r="21" spans="1:8">
      <c r="A21" s="11">
        <v>278800049</v>
      </c>
      <c r="B21" s="11" t="s">
        <v>858</v>
      </c>
      <c r="D21" s="11"/>
      <c r="E21" s="11"/>
    </row>
    <row r="22" spans="1:8">
      <c r="D22" s="11"/>
      <c r="E22" s="11"/>
    </row>
    <row r="23" spans="1:8">
      <c r="D23" s="11"/>
      <c r="E23" s="11"/>
    </row>
    <row r="24" spans="1:8">
      <c r="D24" s="11"/>
      <c r="E24" s="11"/>
    </row>
    <row r="25" spans="1:8">
      <c r="D25" s="11"/>
      <c r="E25" s="11"/>
    </row>
    <row r="26" spans="1:8">
      <c r="D26" s="11"/>
      <c r="E26" s="11"/>
    </row>
    <row r="27" spans="1:8">
      <c r="D27" s="11"/>
      <c r="E27" s="11"/>
    </row>
    <row r="28" spans="1:8">
      <c r="D28" s="11"/>
      <c r="E28" s="11"/>
    </row>
    <row r="29" spans="1:8">
      <c r="D29" s="11"/>
      <c r="E29" s="11"/>
    </row>
  </sheetData>
  <sortState xmlns:xlrd2="http://schemas.microsoft.com/office/spreadsheetml/2017/richdata2" ref="A1:B32">
    <sortCondition ref="B1"/>
  </sortState>
  <mergeCells count="4">
    <mergeCell ref="E1:J1"/>
    <mergeCell ref="H3:J3"/>
    <mergeCell ref="O3:S3"/>
    <mergeCell ref="O4:S14"/>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6DC46-66BA-4690-AB82-902710AA3C44}">
  <sheetPr codeName="Sheet3">
    <pageSetUpPr autoPageBreaks="0"/>
  </sheetPr>
  <dimension ref="A1:R34"/>
  <sheetViews>
    <sheetView zoomScaleNormal="100" workbookViewId="0">
      <selection activeCell="K6" sqref="K6"/>
    </sheetView>
  </sheetViews>
  <sheetFormatPr defaultColWidth="9.28515625" defaultRowHeight="15"/>
  <cols>
    <col min="1" max="1" width="11.7109375" style="11" customWidth="1"/>
    <col min="2" max="10" width="7.85546875" style="11" customWidth="1"/>
    <col min="11" max="12" width="9.28515625" style="11"/>
    <col min="13" max="13" width="7.7109375" style="11" customWidth="1"/>
    <col min="14" max="16384" width="9.28515625" style="11"/>
  </cols>
  <sheetData>
    <row r="1" spans="1:18" ht="15.75" thickBot="1">
      <c r="B1" s="188" t="s">
        <v>383</v>
      </c>
      <c r="C1" s="189" t="s">
        <v>377</v>
      </c>
      <c r="D1" s="188" t="s">
        <v>376</v>
      </c>
      <c r="E1" s="189" t="s">
        <v>378</v>
      </c>
      <c r="F1" s="188" t="s">
        <v>393</v>
      </c>
      <c r="G1" s="189" t="s">
        <v>394</v>
      </c>
      <c r="H1" s="188" t="s">
        <v>395</v>
      </c>
      <c r="I1" s="189" t="s">
        <v>396</v>
      </c>
      <c r="J1" s="188" t="s">
        <v>397</v>
      </c>
      <c r="L1" s="95" t="str">
        <f t="shared" ref="L1" si="0">IF(SUM(B1:J1)=45,"YES","")</f>
        <v/>
      </c>
      <c r="M1" s="95"/>
    </row>
    <row r="2" spans="1:18" ht="39" customHeight="1" thickBot="1">
      <c r="A2" s="185" t="s">
        <v>384</v>
      </c>
      <c r="B2" s="209">
        <v>3</v>
      </c>
      <c r="C2" s="209">
        <v>1</v>
      </c>
      <c r="D2" s="195">
        <v>4</v>
      </c>
      <c r="E2" s="184">
        <v>5</v>
      </c>
      <c r="F2" s="209">
        <v>2</v>
      </c>
      <c r="G2" s="195">
        <v>7</v>
      </c>
      <c r="H2" s="209">
        <v>9</v>
      </c>
      <c r="I2" s="173">
        <v>6</v>
      </c>
      <c r="J2" s="206">
        <v>8</v>
      </c>
      <c r="L2" s="95" t="str">
        <f t="shared" ref="L2:L5" si="1">IF(SUM(B2:J2)=45,"Y","")</f>
        <v>Y</v>
      </c>
      <c r="M2" s="95"/>
      <c r="O2" s="374" t="s">
        <v>23</v>
      </c>
      <c r="P2" s="375"/>
      <c r="Q2" s="375"/>
      <c r="R2" s="376"/>
    </row>
    <row r="3" spans="1:18" ht="39" customHeight="1">
      <c r="A3" s="185" t="s">
        <v>385</v>
      </c>
      <c r="B3" s="172">
        <v>2</v>
      </c>
      <c r="C3" s="203">
        <v>9</v>
      </c>
      <c r="D3" s="196">
        <v>7</v>
      </c>
      <c r="E3" s="212">
        <v>6</v>
      </c>
      <c r="F3" s="203">
        <v>3</v>
      </c>
      <c r="G3" s="196">
        <v>8</v>
      </c>
      <c r="H3" s="177">
        <v>4</v>
      </c>
      <c r="I3" s="203">
        <v>1</v>
      </c>
      <c r="J3" s="206">
        <v>5</v>
      </c>
      <c r="L3" s="95" t="str">
        <f t="shared" si="1"/>
        <v>Y</v>
      </c>
      <c r="M3" s="95"/>
      <c r="O3" s="190" t="s">
        <v>398</v>
      </c>
      <c r="P3" s="3"/>
      <c r="Q3" s="3"/>
    </row>
    <row r="4" spans="1:18" ht="39" customHeight="1" thickBot="1">
      <c r="A4" s="185" t="s">
        <v>386</v>
      </c>
      <c r="B4" s="205">
        <v>6</v>
      </c>
      <c r="C4" s="203">
        <v>8</v>
      </c>
      <c r="D4" s="197">
        <v>5</v>
      </c>
      <c r="E4" s="210">
        <v>9</v>
      </c>
      <c r="F4" s="199">
        <v>4</v>
      </c>
      <c r="G4" s="197">
        <v>1</v>
      </c>
      <c r="H4" s="178">
        <v>7</v>
      </c>
      <c r="I4" s="199">
        <v>2</v>
      </c>
      <c r="J4" s="180">
        <v>3</v>
      </c>
      <c r="L4" s="95" t="str">
        <f t="shared" si="1"/>
        <v>Y</v>
      </c>
      <c r="M4" s="95"/>
      <c r="O4" s="191" t="s">
        <v>399</v>
      </c>
      <c r="P4" s="182"/>
      <c r="Q4" s="182"/>
    </row>
    <row r="5" spans="1:18" ht="39" customHeight="1">
      <c r="A5" s="186" t="s">
        <v>387</v>
      </c>
      <c r="B5" s="181">
        <v>5</v>
      </c>
      <c r="C5" s="175">
        <v>4</v>
      </c>
      <c r="D5" s="198">
        <v>6</v>
      </c>
      <c r="E5" s="211">
        <v>8</v>
      </c>
      <c r="F5" s="204">
        <v>9</v>
      </c>
      <c r="G5" s="195">
        <v>3</v>
      </c>
      <c r="H5" s="174">
        <v>1</v>
      </c>
      <c r="I5" s="204">
        <v>7</v>
      </c>
      <c r="J5" s="176">
        <v>2</v>
      </c>
      <c r="L5" s="95" t="str">
        <f t="shared" si="1"/>
        <v>Y</v>
      </c>
      <c r="M5" s="95"/>
      <c r="O5" s="192" t="s">
        <v>400</v>
      </c>
      <c r="P5" s="182"/>
      <c r="Q5" s="182"/>
    </row>
    <row r="6" spans="1:18" ht="39" customHeight="1">
      <c r="A6" s="186" t="s">
        <v>389</v>
      </c>
      <c r="B6" s="172">
        <v>9</v>
      </c>
      <c r="C6" s="171">
        <v>7</v>
      </c>
      <c r="D6" s="206">
        <v>1</v>
      </c>
      <c r="E6" s="177">
        <v>2</v>
      </c>
      <c r="F6" s="171">
        <v>5</v>
      </c>
      <c r="G6" s="196">
        <v>4</v>
      </c>
      <c r="H6" s="177">
        <v>3</v>
      </c>
      <c r="I6" s="171">
        <v>8</v>
      </c>
      <c r="J6" s="206">
        <v>6</v>
      </c>
      <c r="L6" s="95" t="str">
        <f>IF(SUM(B6:J6)=45,"Y","")</f>
        <v>Y</v>
      </c>
      <c r="M6" s="95"/>
      <c r="O6" s="193" t="s">
        <v>401</v>
      </c>
      <c r="P6" s="182"/>
      <c r="Q6" s="182"/>
    </row>
    <row r="7" spans="1:18" ht="39" customHeight="1" thickBot="1">
      <c r="A7" s="186" t="s">
        <v>388</v>
      </c>
      <c r="B7" s="201">
        <v>8</v>
      </c>
      <c r="C7" s="199">
        <v>2</v>
      </c>
      <c r="D7" s="206">
        <v>3</v>
      </c>
      <c r="E7" s="210">
        <v>7</v>
      </c>
      <c r="F7" s="199">
        <v>1</v>
      </c>
      <c r="G7" s="208">
        <v>6</v>
      </c>
      <c r="H7" s="199">
        <v>5</v>
      </c>
      <c r="I7" s="199">
        <v>4</v>
      </c>
      <c r="J7" s="180">
        <v>9</v>
      </c>
      <c r="L7" s="95" t="str">
        <f t="shared" ref="L7:L9" si="2">IF(SUM(B7:J7)=45,"Y","")</f>
        <v>Y</v>
      </c>
      <c r="M7" s="95"/>
      <c r="O7" s="194" t="s">
        <v>402</v>
      </c>
      <c r="P7" s="182"/>
      <c r="Q7" s="182"/>
    </row>
    <row r="8" spans="1:18" ht="39" customHeight="1">
      <c r="A8" s="187" t="s">
        <v>390</v>
      </c>
      <c r="B8" s="207">
        <v>7</v>
      </c>
      <c r="C8" s="204">
        <v>5</v>
      </c>
      <c r="D8" s="198">
        <v>8</v>
      </c>
      <c r="E8" s="174">
        <v>4</v>
      </c>
      <c r="F8" s="204">
        <v>6</v>
      </c>
      <c r="G8" s="176">
        <v>9</v>
      </c>
      <c r="H8" s="209">
        <v>2</v>
      </c>
      <c r="I8" s="175">
        <v>3</v>
      </c>
      <c r="J8" s="176">
        <v>1</v>
      </c>
      <c r="L8" s="95" t="str">
        <f t="shared" si="2"/>
        <v>Y</v>
      </c>
      <c r="M8" s="95"/>
    </row>
    <row r="9" spans="1:18" ht="39" customHeight="1">
      <c r="A9" s="187" t="s">
        <v>391</v>
      </c>
      <c r="B9" s="205">
        <v>4</v>
      </c>
      <c r="C9" s="171">
        <v>3</v>
      </c>
      <c r="D9" s="206">
        <v>9</v>
      </c>
      <c r="E9" s="177">
        <v>1</v>
      </c>
      <c r="F9" s="203">
        <v>8</v>
      </c>
      <c r="G9" s="206">
        <v>2</v>
      </c>
      <c r="H9" s="177">
        <v>6</v>
      </c>
      <c r="I9" s="171">
        <v>5</v>
      </c>
      <c r="J9" s="206">
        <v>7</v>
      </c>
      <c r="L9" s="95" t="str">
        <f t="shared" si="2"/>
        <v>Y</v>
      </c>
      <c r="M9" s="95"/>
    </row>
    <row r="10" spans="1:18" ht="39" customHeight="1" thickBot="1">
      <c r="A10" s="187" t="s">
        <v>392</v>
      </c>
      <c r="B10" s="201">
        <v>1</v>
      </c>
      <c r="C10" s="179">
        <v>6</v>
      </c>
      <c r="D10" s="197">
        <v>2</v>
      </c>
      <c r="E10" s="178">
        <v>3</v>
      </c>
      <c r="F10" s="179">
        <v>7</v>
      </c>
      <c r="G10" s="208">
        <v>5</v>
      </c>
      <c r="H10" s="199">
        <v>8</v>
      </c>
      <c r="I10" s="199">
        <v>9</v>
      </c>
      <c r="J10" s="180">
        <v>4</v>
      </c>
      <c r="L10" s="95" t="str">
        <f>IF(SUM(B10:J10)=45,"Y","")</f>
        <v>Y</v>
      </c>
      <c r="M10" s="95"/>
    </row>
    <row r="11" spans="1:18">
      <c r="L11" s="95"/>
      <c r="M11" s="95"/>
    </row>
    <row r="12" spans="1:18">
      <c r="B12" s="5" t="str">
        <f t="shared" ref="B12:C12" si="3">IF(SUM(B2:B10)=45,"Y","")</f>
        <v>Y</v>
      </c>
      <c r="C12" s="5" t="str">
        <f t="shared" si="3"/>
        <v>Y</v>
      </c>
      <c r="D12" s="5" t="str">
        <f>IF(SUM(D2:D10)=45,"Y","")</f>
        <v>Y</v>
      </c>
      <c r="E12" s="5" t="str">
        <f t="shared" ref="E12:J12" si="4">IF(SUM(E2:E10)=45,"Y","")</f>
        <v>Y</v>
      </c>
      <c r="F12" s="5" t="str">
        <f t="shared" si="4"/>
        <v>Y</v>
      </c>
      <c r="G12" s="5" t="str">
        <f>IF(SUM(G2:G10)=45,"Y","")</f>
        <v>Y</v>
      </c>
      <c r="H12" s="5" t="str">
        <f t="shared" si="4"/>
        <v>Y</v>
      </c>
      <c r="I12" s="5" t="str">
        <f t="shared" si="4"/>
        <v>Y</v>
      </c>
      <c r="J12" s="5" t="str">
        <f t="shared" si="4"/>
        <v>Y</v>
      </c>
    </row>
    <row r="14" spans="1:18" hidden="1"/>
    <row r="15" spans="1:18" hidden="1"/>
    <row r="16" spans="1:18" hidden="1"/>
    <row r="17" spans="4:13" hidden="1"/>
    <row r="18" spans="4:13" hidden="1"/>
    <row r="19" spans="4:13" hidden="1"/>
    <row r="20" spans="4:13" hidden="1">
      <c r="D20" s="11">
        <v>4</v>
      </c>
      <c r="E20" s="104">
        <f>SUM(K20:K28)</f>
        <v>45</v>
      </c>
      <c r="F20" s="11" t="str">
        <f>IF(SUM(D20:D28)=45,"YES","NO")</f>
        <v>YES</v>
      </c>
      <c r="K20" s="106">
        <f>D2</f>
        <v>4</v>
      </c>
      <c r="L20" s="104" t="str">
        <f>SUBSTITUTE(D2," ","")</f>
        <v>4</v>
      </c>
      <c r="M20" s="104"/>
    </row>
    <row r="21" spans="4:13" hidden="1">
      <c r="D21" s="11">
        <v>7</v>
      </c>
      <c r="K21" s="106">
        <f t="shared" ref="K21:K28" si="5">D3</f>
        <v>7</v>
      </c>
      <c r="L21" s="104" t="str">
        <f>SUBSTITUTE(D3," ","",3)</f>
        <v>7</v>
      </c>
      <c r="M21" s="104"/>
    </row>
    <row r="22" spans="4:13" hidden="1">
      <c r="D22" s="11">
        <v>5</v>
      </c>
      <c r="K22" s="106">
        <f t="shared" si="5"/>
        <v>5</v>
      </c>
      <c r="L22" s="104" t="str">
        <f t="shared" ref="L22:L27" si="6">SUBSTITUTE(D4," ","",2)</f>
        <v>5</v>
      </c>
      <c r="M22" s="104"/>
    </row>
    <row r="23" spans="4:13" hidden="1">
      <c r="D23" s="11">
        <v>6</v>
      </c>
      <c r="K23" s="106">
        <f t="shared" si="5"/>
        <v>6</v>
      </c>
      <c r="L23" s="104" t="str">
        <f t="shared" si="6"/>
        <v>6</v>
      </c>
      <c r="M23" s="104"/>
    </row>
    <row r="24" spans="4:13" hidden="1">
      <c r="D24" s="11">
        <v>1</v>
      </c>
      <c r="K24" s="106">
        <f>D6</f>
        <v>1</v>
      </c>
      <c r="L24" s="104" t="str">
        <f t="shared" si="6"/>
        <v>1</v>
      </c>
      <c r="M24" s="104"/>
    </row>
    <row r="25" spans="4:13" hidden="1">
      <c r="D25" s="11">
        <v>3</v>
      </c>
      <c r="K25" s="106">
        <f t="shared" si="5"/>
        <v>3</v>
      </c>
      <c r="L25" s="104" t="str">
        <f t="shared" si="6"/>
        <v>3</v>
      </c>
      <c r="M25" s="104"/>
    </row>
    <row r="26" spans="4:13" hidden="1">
      <c r="D26" s="11">
        <v>8</v>
      </c>
      <c r="K26" s="106">
        <f t="shared" si="5"/>
        <v>8</v>
      </c>
      <c r="L26" s="104" t="str">
        <f t="shared" si="6"/>
        <v>8</v>
      </c>
      <c r="M26" s="104"/>
    </row>
    <row r="27" spans="4:13" hidden="1">
      <c r="D27" s="11">
        <v>9</v>
      </c>
      <c r="K27" s="106">
        <f t="shared" si="5"/>
        <v>9</v>
      </c>
      <c r="L27" s="104" t="str">
        <f t="shared" si="6"/>
        <v>9</v>
      </c>
      <c r="M27" s="104"/>
    </row>
    <row r="28" spans="4:13" hidden="1">
      <c r="D28" s="11">
        <v>2</v>
      </c>
      <c r="K28" s="106">
        <f t="shared" si="5"/>
        <v>2</v>
      </c>
      <c r="L28" s="104" t="str">
        <f>SUBSTITUTE(D10," ","",2)</f>
        <v>2</v>
      </c>
      <c r="M28" s="104"/>
    </row>
    <row r="29" spans="4:13" hidden="1"/>
    <row r="30" spans="4:13">
      <c r="H30" s="200"/>
    </row>
    <row r="32" spans="4:13">
      <c r="D32" s="202" t="str">
        <f>IF(SUM(B2:D4)=45,"✓","")</f>
        <v>✓</v>
      </c>
      <c r="E32" s="202" t="str">
        <f>IF(SUM(E2:G4)=45,"✓","")</f>
        <v>✓</v>
      </c>
      <c r="F32" s="202" t="str">
        <f>IF(SUM(H2:J4)=45,"✓","")</f>
        <v>✓</v>
      </c>
    </row>
    <row r="33" spans="4:6">
      <c r="D33" s="202" t="str">
        <f>IF(SUM(B5:D7)=45,"✓","")</f>
        <v>✓</v>
      </c>
      <c r="E33" s="202" t="str">
        <f>IF(SUM(E5:G7)=45,"✓","")</f>
        <v>✓</v>
      </c>
      <c r="F33" s="202" t="str">
        <f>IF(SUM(H5:J7)=45,"✓","")</f>
        <v>✓</v>
      </c>
    </row>
    <row r="34" spans="4:6">
      <c r="D34" s="202" t="str">
        <f>IF(SUM(B8:D10)=45,"✓","")</f>
        <v>✓</v>
      </c>
      <c r="E34" s="202" t="str">
        <f>IF(SUM(E8:G10)=45,"✓","")</f>
        <v>✓</v>
      </c>
      <c r="F34" s="202" t="str">
        <f>IF(SUM(H8:J10)=45,"✓","")</f>
        <v>✓</v>
      </c>
    </row>
  </sheetData>
  <sheetProtection formatCells="0"/>
  <mergeCells count="1">
    <mergeCell ref="O2:R2"/>
  </mergeCells>
  <conditionalFormatting sqref="I13:XFD13 A13:G13 I12 E12:G12 H12:H13 A14:XFD1048576 A1:D12 E1:I11 J1:XFD12">
    <cfRule type="cellIs" dxfId="266" priority="3" operator="equal">
      <formula>"YES"</formula>
    </cfRule>
  </conditionalFormatting>
  <conditionalFormatting sqref="A2:R39">
    <cfRule type="cellIs" dxfId="265" priority="2" operator="equal">
      <formula>"Y"</formula>
    </cfRule>
  </conditionalFormatting>
  <conditionalFormatting sqref="D32:F34">
    <cfRule type="cellIs" dxfId="264" priority="1" operator="equal">
      <formula>"✓"</formula>
    </cfRule>
  </conditionalFormatting>
  <pageMargins left="0.7" right="0.7" top="0.75" bottom="0.75" header="0.3" footer="0.3"/>
  <pageSetup orientation="portrait" verticalDpi="196"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797A1-64C9-4554-801E-4902E142B213}">
  <sheetPr codeName="Sheet5">
    <pageSetUpPr autoPageBreaks="0"/>
  </sheetPr>
  <dimension ref="A1:AY705"/>
  <sheetViews>
    <sheetView zoomScaleNormal="100" workbookViewId="0">
      <selection activeCell="AT12" sqref="AT12"/>
    </sheetView>
  </sheetViews>
  <sheetFormatPr defaultColWidth="9.28515625" defaultRowHeight="15"/>
  <cols>
    <col min="1" max="1" width="4.5703125" style="11" customWidth="1"/>
    <col min="2" max="2" width="11.7109375" style="11" customWidth="1"/>
    <col min="3" max="11" width="7.85546875" style="11" customWidth="1"/>
    <col min="12" max="12" width="4.7109375" style="11" customWidth="1"/>
    <col min="13" max="13" width="10.85546875" style="11" customWidth="1"/>
    <col min="14" max="14" width="10.7109375" style="11" customWidth="1"/>
    <col min="15" max="15" width="13.140625" style="11" customWidth="1"/>
    <col min="16" max="16" width="10.28515625" style="11" customWidth="1"/>
    <col min="17" max="17" width="9.7109375" style="11" customWidth="1"/>
    <col min="18" max="18" width="11.42578125" style="11" customWidth="1"/>
    <col min="19" max="19" width="9.28515625" style="11"/>
    <col min="20" max="20" width="10" style="11" hidden="1" customWidth="1"/>
    <col min="21" max="21" width="10" style="104" hidden="1" customWidth="1"/>
    <col min="22" max="22" width="11" style="104" hidden="1" customWidth="1"/>
    <col min="23" max="23" width="9.28515625" style="11" customWidth="1"/>
    <col min="24" max="24" width="9.28515625" style="11" hidden="1" customWidth="1"/>
    <col min="25" max="33" width="4.28515625" style="11" hidden="1" customWidth="1"/>
    <col min="34" max="34" width="4.140625" style="11" hidden="1" customWidth="1"/>
    <col min="35" max="40" width="2.5703125" style="11" hidden="1" customWidth="1"/>
    <col min="41" max="44" width="3.140625" style="11" hidden="1" customWidth="1"/>
    <col min="45" max="45" width="9.28515625" style="11" customWidth="1"/>
    <col min="46" max="16384" width="9.28515625" style="11"/>
  </cols>
  <sheetData>
    <row r="1" spans="1:51" ht="15.75" thickBot="1">
      <c r="B1" s="11" t="s">
        <v>433</v>
      </c>
      <c r="C1" s="213" t="s">
        <v>383</v>
      </c>
      <c r="D1" s="214" t="s">
        <v>377</v>
      </c>
      <c r="E1" s="213" t="s">
        <v>376</v>
      </c>
      <c r="F1" s="214" t="s">
        <v>378</v>
      </c>
      <c r="G1" s="213" t="s">
        <v>393</v>
      </c>
      <c r="H1" s="214" t="s">
        <v>394</v>
      </c>
      <c r="I1" s="213" t="s">
        <v>395</v>
      </c>
      <c r="J1" s="214" t="s">
        <v>396</v>
      </c>
      <c r="K1" s="213" t="s">
        <v>397</v>
      </c>
      <c r="M1" s="218" t="s">
        <v>434</v>
      </c>
      <c r="N1" s="218" t="s">
        <v>422</v>
      </c>
      <c r="O1" s="222" t="s">
        <v>411</v>
      </c>
      <c r="P1" s="220" t="s">
        <v>436</v>
      </c>
      <c r="Q1" s="21" t="s">
        <v>435</v>
      </c>
      <c r="R1" s="221" t="s">
        <v>437</v>
      </c>
      <c r="Z1" s="11">
        <v>1</v>
      </c>
      <c r="AA1" s="11">
        <v>2</v>
      </c>
      <c r="AB1" s="11">
        <v>3</v>
      </c>
      <c r="AC1" s="11">
        <v>4</v>
      </c>
      <c r="AD1" s="11">
        <v>5</v>
      </c>
      <c r="AE1" s="11">
        <v>6</v>
      </c>
      <c r="AF1" s="11">
        <v>7</v>
      </c>
      <c r="AG1" s="11">
        <v>8</v>
      </c>
      <c r="AH1" s="11">
        <v>9</v>
      </c>
    </row>
    <row r="2" spans="1:51" ht="39" customHeight="1" thickBot="1">
      <c r="A2" s="380" t="s">
        <v>432</v>
      </c>
      <c r="B2" s="273" t="s">
        <v>428</v>
      </c>
      <c r="C2" s="246">
        <v>9</v>
      </c>
      <c r="D2" s="337">
        <v>3</v>
      </c>
      <c r="E2" s="338">
        <v>2</v>
      </c>
      <c r="F2" s="245">
        <v>4</v>
      </c>
      <c r="G2" s="468">
        <v>1</v>
      </c>
      <c r="H2" s="338">
        <v>6</v>
      </c>
      <c r="I2" s="467">
        <v>8</v>
      </c>
      <c r="J2" s="246">
        <v>5</v>
      </c>
      <c r="K2" s="337">
        <v>7</v>
      </c>
      <c r="L2" s="266"/>
      <c r="M2" s="271" t="str">
        <f>IF(SUM(C2:K2)=45,"Y","")</f>
        <v>Y</v>
      </c>
      <c r="N2" s="244" t="str">
        <f>Z$22</f>
        <v/>
      </c>
      <c r="O2" s="276" t="s">
        <v>423</v>
      </c>
      <c r="P2" s="230"/>
      <c r="Q2" s="232" t="str">
        <f ca="1">_xlfn.TEXTJOIN(", ",TRUE,U2:U3)</f>
        <v>227699275, 234310325</v>
      </c>
      <c r="R2" s="235" t="str">
        <f ca="1">_xlfn.TEXTJOIN(", ",TRUE,V2:V2)</f>
        <v>227650471</v>
      </c>
      <c r="S2" s="11" t="s">
        <v>691</v>
      </c>
      <c r="T2" s="11">
        <f ca="1">RANDBETWEEN(200000000,234567890)</f>
        <v>215416202</v>
      </c>
      <c r="U2" s="104">
        <f ca="1">RANDBETWEEN(200000000,234567890)</f>
        <v>227699275</v>
      </c>
      <c r="V2" s="106">
        <f ca="1">RANDBETWEEN(200000000,234567890)</f>
        <v>227650471</v>
      </c>
      <c r="X2" s="380" t="s">
        <v>463</v>
      </c>
      <c r="Y2" s="28">
        <v>1</v>
      </c>
      <c r="Z2" s="11" t="str">
        <f>IF(ISERROR(VLOOKUP(Y2,C$2:C$10,1,FALSE)),Y2, "")</f>
        <v/>
      </c>
      <c r="AA2" s="11" t="str">
        <f t="shared" ref="AA2:AA10" si="0">IF(ISERROR(VLOOKUP($Y2,D$2:D$10,1,FALSE)),$Y2, "")</f>
        <v/>
      </c>
      <c r="AB2" s="11" t="str">
        <f t="shared" ref="AB2:AB10" si="1">IF(ISERROR(VLOOKUP($Y2,E$2:E$10,1,FALSE)),$Y2, "")</f>
        <v/>
      </c>
      <c r="AC2" s="11" t="str">
        <f t="shared" ref="AC2:AC10" si="2">IF(ISERROR(VLOOKUP($Y2,F$2:F$10,1,FALSE)),$Y2, "")</f>
        <v/>
      </c>
      <c r="AD2" s="11" t="str">
        <f t="shared" ref="AD2:AD10" si="3">IF(ISERROR(VLOOKUP($Y2,G$2:G$10,1,FALSE)),$Y2, "")</f>
        <v/>
      </c>
      <c r="AE2" s="11" t="str">
        <f t="shared" ref="AE2:AE10" si="4">IF(ISERROR(VLOOKUP($Y2,H$2:H$10,1,FALSE)),$Y2, "")</f>
        <v/>
      </c>
      <c r="AF2" s="11" t="str">
        <f t="shared" ref="AF2:AF10" si="5">IF(ISERROR(VLOOKUP($Y2,I$2:I$10,1,FALSE)),$Y2, "")</f>
        <v/>
      </c>
      <c r="AG2" s="11" t="str">
        <f t="shared" ref="AG2:AG10" si="6">IF(ISERROR(VLOOKUP($Y2,J$2:J$10,1,FALSE)),$Y2, "")</f>
        <v/>
      </c>
      <c r="AH2" s="11" t="str">
        <f t="shared" ref="AH2:AH10" si="7">IF(ISERROR(VLOOKUP($Y2,K$2:K$10,1,FALSE)),$Y2, "")</f>
        <v/>
      </c>
      <c r="AS2" s="11" t="s">
        <v>845</v>
      </c>
      <c r="AV2" s="486" t="s">
        <v>933</v>
      </c>
      <c r="AW2" s="487"/>
      <c r="AX2" s="487"/>
      <c r="AY2" s="487"/>
    </row>
    <row r="3" spans="1:51" ht="39" customHeight="1">
      <c r="A3" s="381"/>
      <c r="B3" s="273" t="s">
        <v>427</v>
      </c>
      <c r="C3" s="337">
        <v>8</v>
      </c>
      <c r="D3" s="468">
        <v>7</v>
      </c>
      <c r="E3" s="469">
        <v>1</v>
      </c>
      <c r="F3" s="339">
        <v>3</v>
      </c>
      <c r="G3" s="466">
        <v>2</v>
      </c>
      <c r="H3" s="469">
        <v>5</v>
      </c>
      <c r="I3" s="339">
        <v>9</v>
      </c>
      <c r="J3" s="466">
        <v>6</v>
      </c>
      <c r="K3" s="466">
        <v>4</v>
      </c>
      <c r="M3" s="216" t="str">
        <f t="shared" ref="M3:M10" si="8">IF(SUM(C3:K3)=45,"Y","")</f>
        <v>Y</v>
      </c>
      <c r="N3" s="265" t="str">
        <f>AA$22</f>
        <v/>
      </c>
      <c r="O3" s="277" t="s">
        <v>424</v>
      </c>
      <c r="P3" s="227" t="str">
        <f ca="1">_xlfn.TEXTJOIN(", ",TRUE,T3:T4)</f>
        <v>203802546, 219268596</v>
      </c>
      <c r="Q3" s="228"/>
      <c r="R3" s="224"/>
      <c r="T3" s="11">
        <f t="shared" ref="T3:V18" ca="1" si="9">RANDBETWEEN(200000000,234567890)</f>
        <v>203802546</v>
      </c>
      <c r="U3" s="104">
        <f t="shared" ca="1" si="9"/>
        <v>234310325</v>
      </c>
      <c r="V3" s="106">
        <f t="shared" ca="1" si="9"/>
        <v>204444750</v>
      </c>
      <c r="X3" s="381"/>
      <c r="Y3" s="263">
        <v>2</v>
      </c>
      <c r="Z3" s="11" t="str">
        <f>IF(ISERROR(VLOOKUP(Y3,C$2:C$10,1,FALSE)),Y3, "")</f>
        <v/>
      </c>
      <c r="AA3" s="11" t="str">
        <f t="shared" si="0"/>
        <v/>
      </c>
      <c r="AB3" s="11" t="str">
        <f t="shared" si="1"/>
        <v/>
      </c>
      <c r="AC3" s="11" t="str">
        <f t="shared" si="2"/>
        <v/>
      </c>
      <c r="AD3" s="11" t="str">
        <f t="shared" si="3"/>
        <v/>
      </c>
      <c r="AE3" s="11" t="str">
        <f t="shared" si="4"/>
        <v/>
      </c>
      <c r="AF3" s="11" t="str">
        <f t="shared" si="5"/>
        <v/>
      </c>
      <c r="AG3" s="11" t="str">
        <f t="shared" si="6"/>
        <v/>
      </c>
      <c r="AH3" s="11" t="str">
        <f t="shared" si="7"/>
        <v/>
      </c>
      <c r="AS3" s="11" t="s">
        <v>847</v>
      </c>
      <c r="AV3" s="480" t="s">
        <v>931</v>
      </c>
      <c r="AW3" s="481"/>
      <c r="AX3" s="481"/>
      <c r="AY3" s="481"/>
    </row>
    <row r="4" spans="1:51" ht="39" customHeight="1" thickBot="1">
      <c r="A4" s="382"/>
      <c r="B4" s="273" t="s">
        <v>429</v>
      </c>
      <c r="C4" s="343">
        <v>5</v>
      </c>
      <c r="D4" s="249">
        <v>6</v>
      </c>
      <c r="E4" s="341">
        <v>4</v>
      </c>
      <c r="F4" s="340">
        <v>9</v>
      </c>
      <c r="G4" s="471">
        <v>7</v>
      </c>
      <c r="H4" s="341">
        <v>8</v>
      </c>
      <c r="I4" s="472">
        <v>1</v>
      </c>
      <c r="J4" s="471">
        <v>3</v>
      </c>
      <c r="K4" s="471">
        <v>2</v>
      </c>
      <c r="M4" s="216" t="str">
        <f>IF(SUM(C4:K4)=45,"Y","")</f>
        <v>Y</v>
      </c>
      <c r="N4" s="216" t="str">
        <f>AB22</f>
        <v/>
      </c>
      <c r="O4" s="278" t="s">
        <v>425</v>
      </c>
      <c r="P4" s="227" t="str">
        <f ca="1">_xlfn.TEXTJOIN(", ",TRUE,T4:T6)</f>
        <v>219268596, 208760180, 229151194</v>
      </c>
      <c r="Q4" s="233" t="str">
        <f ca="1">_xlfn.TEXTJOIN(", ",TRUE,U4:U4)</f>
        <v>200212525</v>
      </c>
      <c r="R4" s="236" t="str">
        <f ca="1">_xlfn.TEXTJOIN(", ",TRUE,V4:V4)</f>
        <v>204470204</v>
      </c>
      <c r="T4" s="11">
        <f t="shared" ca="1" si="9"/>
        <v>219268596</v>
      </c>
      <c r="U4" s="104">
        <f t="shared" ca="1" si="9"/>
        <v>200212525</v>
      </c>
      <c r="V4" s="106">
        <f t="shared" ca="1" si="9"/>
        <v>204470204</v>
      </c>
      <c r="X4" s="381"/>
      <c r="Y4" s="263">
        <v>3</v>
      </c>
      <c r="Z4" s="11" t="str">
        <f>IF(ISERROR(VLOOKUP(Y4,C$2:C$10,1,FALSE)),Y4, "")</f>
        <v/>
      </c>
      <c r="AA4" s="11" t="str">
        <f t="shared" si="0"/>
        <v/>
      </c>
      <c r="AB4" s="11" t="str">
        <f t="shared" si="1"/>
        <v/>
      </c>
      <c r="AC4" s="11" t="str">
        <f t="shared" si="2"/>
        <v/>
      </c>
      <c r="AD4" s="11" t="str">
        <f t="shared" si="3"/>
        <v/>
      </c>
      <c r="AE4" s="11" t="str">
        <f t="shared" si="4"/>
        <v/>
      </c>
      <c r="AF4" s="11" t="str">
        <f t="shared" si="5"/>
        <v/>
      </c>
      <c r="AG4" s="11" t="str">
        <f t="shared" si="6"/>
        <v/>
      </c>
      <c r="AH4" s="11" t="str">
        <f t="shared" si="7"/>
        <v/>
      </c>
      <c r="AS4" s="11" t="s">
        <v>846</v>
      </c>
      <c r="AV4" s="480"/>
      <c r="AW4" s="481"/>
      <c r="AX4" s="481"/>
      <c r="AY4" s="481"/>
    </row>
    <row r="5" spans="1:51" ht="39" customHeight="1" thickTop="1">
      <c r="A5" s="380" t="s">
        <v>431</v>
      </c>
      <c r="B5" s="274" t="s">
        <v>420</v>
      </c>
      <c r="C5" s="342">
        <v>3</v>
      </c>
      <c r="D5" s="342">
        <v>2</v>
      </c>
      <c r="E5" s="474">
        <v>7</v>
      </c>
      <c r="F5" s="344">
        <v>6</v>
      </c>
      <c r="G5" s="476">
        <v>8</v>
      </c>
      <c r="H5" s="474">
        <v>4</v>
      </c>
      <c r="I5" s="479">
        <v>5</v>
      </c>
      <c r="J5" s="248">
        <v>9</v>
      </c>
      <c r="K5" s="248">
        <v>1</v>
      </c>
      <c r="M5" s="216" t="str">
        <f t="shared" si="8"/>
        <v>Y</v>
      </c>
      <c r="N5" s="265" t="str">
        <f>AC22</f>
        <v/>
      </c>
      <c r="O5" s="279" t="s">
        <v>417</v>
      </c>
      <c r="P5" s="226" t="str">
        <f ca="1">_xlfn.TEXTJOIN(", ",TRUE,T5:T6)</f>
        <v>208760180, 229151194</v>
      </c>
      <c r="Q5" s="232" t="str">
        <f ca="1">_xlfn.TEXTJOIN(", ",TRUE,U5:U6)</f>
        <v>208410117, 206843532</v>
      </c>
      <c r="R5" s="223"/>
      <c r="T5" s="11">
        <f t="shared" ca="1" si="9"/>
        <v>208760180</v>
      </c>
      <c r="U5" s="104">
        <f t="shared" ca="1" si="9"/>
        <v>208410117</v>
      </c>
      <c r="V5" s="106">
        <f t="shared" ca="1" si="9"/>
        <v>201932789</v>
      </c>
      <c r="X5" s="381"/>
      <c r="Y5" s="263">
        <v>4</v>
      </c>
      <c r="Z5" s="11" t="str">
        <f>IF(ISERROR(VLOOKUP(Y5,C$2:C$10,1,FALSE)),Y5, "")</f>
        <v/>
      </c>
      <c r="AA5" s="11" t="str">
        <f t="shared" si="0"/>
        <v/>
      </c>
      <c r="AB5" s="11" t="str">
        <f t="shared" si="1"/>
        <v/>
      </c>
      <c r="AC5" s="11" t="str">
        <f t="shared" si="2"/>
        <v/>
      </c>
      <c r="AD5" s="11" t="str">
        <f t="shared" si="3"/>
        <v/>
      </c>
      <c r="AE5" s="11" t="str">
        <f t="shared" si="4"/>
        <v/>
      </c>
      <c r="AF5" s="11" t="str">
        <f t="shared" si="5"/>
        <v/>
      </c>
      <c r="AG5" s="11" t="str">
        <f t="shared" si="6"/>
        <v/>
      </c>
      <c r="AH5" s="11" t="str">
        <f t="shared" si="7"/>
        <v/>
      </c>
      <c r="AV5" s="480"/>
      <c r="AW5" s="481"/>
      <c r="AX5" s="481"/>
      <c r="AY5" s="481"/>
    </row>
    <row r="6" spans="1:51" ht="39" customHeight="1">
      <c r="A6" s="381"/>
      <c r="B6" s="274" t="s">
        <v>421</v>
      </c>
      <c r="C6" s="337">
        <v>1</v>
      </c>
      <c r="D6" s="468">
        <v>4</v>
      </c>
      <c r="E6" s="469">
        <v>5</v>
      </c>
      <c r="F6" s="245">
        <v>7</v>
      </c>
      <c r="G6" s="246">
        <v>3</v>
      </c>
      <c r="H6" s="470">
        <v>9</v>
      </c>
      <c r="I6" s="245">
        <v>2</v>
      </c>
      <c r="J6" s="466">
        <v>8</v>
      </c>
      <c r="K6" s="246">
        <v>6</v>
      </c>
      <c r="M6" s="216" t="str">
        <f t="shared" si="8"/>
        <v>Y</v>
      </c>
      <c r="N6" s="265" t="str">
        <f>AD22</f>
        <v/>
      </c>
      <c r="O6" s="280" t="s">
        <v>418</v>
      </c>
      <c r="P6" s="229"/>
      <c r="Q6" s="228" t="str">
        <f ca="1">_xlfn.TEXTJOIN(", ",TRUE,U6:U6)</f>
        <v>206843532</v>
      </c>
      <c r="R6" s="237" t="str">
        <f ca="1">_xlfn.TEXTJOIN(", ",TRUE,V6:V7)</f>
        <v>212881251, 204423832</v>
      </c>
      <c r="T6" s="11">
        <f t="shared" ca="1" si="9"/>
        <v>229151194</v>
      </c>
      <c r="U6" s="104">
        <f t="shared" ca="1" si="9"/>
        <v>206843532</v>
      </c>
      <c r="V6" s="106">
        <f t="shared" ca="1" si="9"/>
        <v>212881251</v>
      </c>
      <c r="X6" s="381"/>
      <c r="Y6" s="263">
        <v>5</v>
      </c>
      <c r="Z6" s="11" t="str">
        <f>IF(ISERROR(VLOOKUP(Y6,C$2:C$10,1,FALSE)),Y6, "")</f>
        <v/>
      </c>
      <c r="AA6" s="11" t="str">
        <f t="shared" si="0"/>
        <v/>
      </c>
      <c r="AB6" s="11" t="str">
        <f t="shared" si="1"/>
        <v/>
      </c>
      <c r="AC6" s="11" t="str">
        <f t="shared" si="2"/>
        <v/>
      </c>
      <c r="AD6" s="11" t="str">
        <f t="shared" si="3"/>
        <v/>
      </c>
      <c r="AE6" s="11" t="str">
        <f t="shared" si="4"/>
        <v/>
      </c>
      <c r="AF6" s="11" t="str">
        <f t="shared" si="5"/>
        <v/>
      </c>
      <c r="AG6" s="11" t="str">
        <f t="shared" si="6"/>
        <v/>
      </c>
      <c r="AH6" s="11" t="str">
        <f t="shared" si="7"/>
        <v/>
      </c>
    </row>
    <row r="7" spans="1:51" ht="39" customHeight="1" thickBot="1">
      <c r="A7" s="382"/>
      <c r="B7" s="274" t="s">
        <v>430</v>
      </c>
      <c r="C7" s="471">
        <v>6</v>
      </c>
      <c r="D7" s="249">
        <v>9</v>
      </c>
      <c r="E7" s="475">
        <v>8</v>
      </c>
      <c r="F7" s="340">
        <v>1</v>
      </c>
      <c r="G7" s="343">
        <v>5</v>
      </c>
      <c r="H7" s="341">
        <v>2</v>
      </c>
      <c r="I7" s="472">
        <v>7</v>
      </c>
      <c r="J7" s="249">
        <v>4</v>
      </c>
      <c r="K7" s="471">
        <v>3</v>
      </c>
      <c r="M7" s="216" t="str">
        <f t="shared" si="8"/>
        <v>Y</v>
      </c>
      <c r="N7" s="216" t="str">
        <f>AE22</f>
        <v/>
      </c>
      <c r="O7" s="281" t="s">
        <v>419</v>
      </c>
      <c r="P7" s="231" t="str">
        <f ca="1">_xlfn.TEXTJOIN(", ",TRUE,T7:T7)</f>
        <v>230469110</v>
      </c>
      <c r="Q7" s="233"/>
      <c r="R7" s="225"/>
      <c r="T7" s="11">
        <f t="shared" ca="1" si="9"/>
        <v>230469110</v>
      </c>
      <c r="U7" s="104">
        <f t="shared" ca="1" si="9"/>
        <v>222636804</v>
      </c>
      <c r="V7" s="106">
        <f t="shared" ca="1" si="9"/>
        <v>204423832</v>
      </c>
      <c r="X7" s="381"/>
      <c r="Y7" s="263">
        <v>6</v>
      </c>
      <c r="Z7" s="11" t="str">
        <f>IF(ISERROR(VLOOKUP(Y7,C$2:C$10,1,FALSE)),Y7, "")</f>
        <v/>
      </c>
      <c r="AA7" s="11" t="str">
        <f t="shared" si="0"/>
        <v/>
      </c>
      <c r="AB7" s="11" t="str">
        <f t="shared" si="1"/>
        <v/>
      </c>
      <c r="AC7" s="11" t="str">
        <f t="shared" si="2"/>
        <v/>
      </c>
      <c r="AD7" s="11" t="str">
        <f t="shared" si="3"/>
        <v/>
      </c>
      <c r="AE7" s="11" t="str">
        <f t="shared" si="4"/>
        <v/>
      </c>
      <c r="AF7" s="11" t="str">
        <f t="shared" si="5"/>
        <v/>
      </c>
      <c r="AG7" s="11" t="str">
        <f t="shared" si="6"/>
        <v/>
      </c>
      <c r="AH7" s="11" t="str">
        <f t="shared" si="7"/>
        <v/>
      </c>
    </row>
    <row r="8" spans="1:51" ht="39" customHeight="1" thickTop="1">
      <c r="A8" s="380" t="s">
        <v>460</v>
      </c>
      <c r="B8" s="275" t="s">
        <v>410</v>
      </c>
      <c r="C8" s="473">
        <v>7</v>
      </c>
      <c r="D8" s="473">
        <v>1</v>
      </c>
      <c r="E8" s="345">
        <v>6</v>
      </c>
      <c r="F8" s="477">
        <v>5</v>
      </c>
      <c r="G8" s="473">
        <v>9</v>
      </c>
      <c r="H8" s="474">
        <v>3</v>
      </c>
      <c r="I8" s="478">
        <v>4</v>
      </c>
      <c r="J8" s="473">
        <v>2</v>
      </c>
      <c r="K8" s="342">
        <v>8</v>
      </c>
      <c r="M8" s="216" t="str">
        <f t="shared" si="8"/>
        <v>Y</v>
      </c>
      <c r="N8" s="265" t="str">
        <f>AF22</f>
        <v/>
      </c>
      <c r="O8" s="282">
        <f ca="1">WORKDAY(TODAY(),3)</f>
        <v>44831</v>
      </c>
      <c r="P8" s="226" t="str">
        <f ca="1">_xlfn.TEXTJOIN(", ",TRUE,T8:T10)</f>
        <v>227848586, 233516971, 213444934</v>
      </c>
      <c r="Q8" s="232" t="str">
        <f ca="1">_xlfn.TEXTJOIN(", ",TRUE,U8:U8)</f>
        <v>204686044</v>
      </c>
      <c r="R8" s="223"/>
      <c r="T8" s="11">
        <f t="shared" ca="1" si="9"/>
        <v>227848586</v>
      </c>
      <c r="U8" s="104">
        <f t="shared" ca="1" si="9"/>
        <v>204686044</v>
      </c>
      <c r="V8" s="106">
        <f t="shared" ca="1" si="9"/>
        <v>200908785</v>
      </c>
      <c r="X8" s="381"/>
      <c r="Y8" s="263">
        <v>7</v>
      </c>
      <c r="Z8" s="11" t="str">
        <f>IF(ISERROR(VLOOKUP(Y8,C$2:C$10,1,FALSE)),Y8, "")</f>
        <v/>
      </c>
      <c r="AA8" s="11" t="str">
        <f t="shared" si="0"/>
        <v/>
      </c>
      <c r="AB8" s="11" t="str">
        <f t="shared" si="1"/>
        <v/>
      </c>
      <c r="AC8" s="11" t="str">
        <f t="shared" si="2"/>
        <v/>
      </c>
      <c r="AD8" s="11" t="str">
        <f t="shared" si="3"/>
        <v/>
      </c>
      <c r="AE8" s="11" t="str">
        <f t="shared" si="4"/>
        <v/>
      </c>
      <c r="AF8" s="11" t="str">
        <f t="shared" si="5"/>
        <v/>
      </c>
      <c r="AG8" s="11" t="str">
        <f t="shared" si="6"/>
        <v/>
      </c>
      <c r="AH8" s="11" t="str">
        <f t="shared" si="7"/>
        <v/>
      </c>
    </row>
    <row r="9" spans="1:51" ht="39" customHeight="1">
      <c r="A9" s="381"/>
      <c r="B9" s="275" t="s">
        <v>409</v>
      </c>
      <c r="C9" s="337">
        <v>2</v>
      </c>
      <c r="D9" s="246">
        <v>5</v>
      </c>
      <c r="E9" s="247">
        <v>3</v>
      </c>
      <c r="F9" s="245">
        <v>8</v>
      </c>
      <c r="G9" s="246">
        <v>4</v>
      </c>
      <c r="H9" s="469">
        <v>7</v>
      </c>
      <c r="I9" s="245">
        <v>6</v>
      </c>
      <c r="J9" s="337">
        <v>1</v>
      </c>
      <c r="K9" s="337">
        <v>9</v>
      </c>
      <c r="M9" s="216" t="str">
        <f t="shared" si="8"/>
        <v>Y</v>
      </c>
      <c r="N9" s="265" t="str">
        <f>AG22</f>
        <v/>
      </c>
      <c r="O9" s="282">
        <f ca="1">WORKDAY(TODAY(),5)</f>
        <v>44833</v>
      </c>
      <c r="P9" s="227"/>
      <c r="Q9" s="228"/>
      <c r="R9" s="224"/>
      <c r="T9" s="11">
        <f t="shared" ca="1" si="9"/>
        <v>233516971</v>
      </c>
      <c r="U9" s="104">
        <f t="shared" ca="1" si="9"/>
        <v>226502882</v>
      </c>
      <c r="V9" s="106">
        <f t="shared" ca="1" si="9"/>
        <v>218745824</v>
      </c>
      <c r="X9" s="381"/>
      <c r="Y9" s="263">
        <v>8</v>
      </c>
      <c r="Z9" s="11" t="str">
        <f>IF(ISERROR(VLOOKUP(Y9,C$2:C$10,1,FALSE)),Y9, "")</f>
        <v/>
      </c>
      <c r="AA9" s="11" t="str">
        <f t="shared" si="0"/>
        <v/>
      </c>
      <c r="AB9" s="11" t="str">
        <f t="shared" si="1"/>
        <v/>
      </c>
      <c r="AC9" s="11" t="str">
        <f t="shared" si="2"/>
        <v/>
      </c>
      <c r="AD9" s="11" t="str">
        <f t="shared" si="3"/>
        <v/>
      </c>
      <c r="AE9" s="11" t="str">
        <f t="shared" si="4"/>
        <v/>
      </c>
      <c r="AF9" s="11" t="str">
        <f t="shared" si="5"/>
        <v/>
      </c>
      <c r="AG9" s="11" t="str">
        <f t="shared" si="6"/>
        <v/>
      </c>
      <c r="AH9" s="11" t="str">
        <f t="shared" si="7"/>
        <v/>
      </c>
    </row>
    <row r="10" spans="1:51" ht="39" customHeight="1">
      <c r="A10" s="382"/>
      <c r="B10" s="275" t="s">
        <v>412</v>
      </c>
      <c r="C10" s="466">
        <v>4</v>
      </c>
      <c r="D10" s="337">
        <v>8</v>
      </c>
      <c r="E10" s="338">
        <v>9</v>
      </c>
      <c r="F10" s="245">
        <v>2</v>
      </c>
      <c r="G10" s="337">
        <v>6</v>
      </c>
      <c r="H10" s="338">
        <v>1</v>
      </c>
      <c r="I10" s="245">
        <v>3</v>
      </c>
      <c r="J10" s="337">
        <v>7</v>
      </c>
      <c r="K10" s="337">
        <v>5</v>
      </c>
      <c r="M10" s="217" t="str">
        <f t="shared" si="8"/>
        <v>Y</v>
      </c>
      <c r="N10" s="242" t="str">
        <f>AH22</f>
        <v/>
      </c>
      <c r="O10" s="283">
        <f ca="1">WORKDAY(TODAY(),7)</f>
        <v>44837</v>
      </c>
      <c r="P10" s="234" t="str">
        <f ca="1">_xlfn.TEXTJOIN(", ",TRUE,T10:T10)</f>
        <v>213444934</v>
      </c>
      <c r="Q10" s="233"/>
      <c r="R10" s="225" t="str">
        <f>_xlfn.TEXTJOIN(",  ",TRUE,V22:V29)</f>
        <v/>
      </c>
      <c r="T10" s="11">
        <f t="shared" ca="1" si="9"/>
        <v>213444934</v>
      </c>
      <c r="U10" s="104">
        <f t="shared" ca="1" si="9"/>
        <v>213664638</v>
      </c>
      <c r="V10" s="106">
        <f t="shared" ca="1" si="9"/>
        <v>219605935</v>
      </c>
      <c r="X10" s="382"/>
      <c r="Y10" s="264">
        <v>9</v>
      </c>
      <c r="Z10" s="11" t="str">
        <f>IF(ISERROR(VLOOKUP(Y10,C$2:C$10,1,FALSE)),Y10, "")</f>
        <v/>
      </c>
      <c r="AA10" s="11" t="str">
        <f t="shared" si="0"/>
        <v/>
      </c>
      <c r="AB10" s="11" t="str">
        <f t="shared" si="1"/>
        <v/>
      </c>
      <c r="AC10" s="11" t="str">
        <f t="shared" si="2"/>
        <v/>
      </c>
      <c r="AD10" s="11" t="str">
        <f t="shared" si="3"/>
        <v/>
      </c>
      <c r="AE10" s="11" t="str">
        <f t="shared" si="4"/>
        <v/>
      </c>
      <c r="AF10" s="11" t="str">
        <f t="shared" si="5"/>
        <v/>
      </c>
      <c r="AG10" s="11" t="str">
        <f t="shared" si="6"/>
        <v/>
      </c>
      <c r="AH10" s="11" t="str">
        <f t="shared" si="7"/>
        <v/>
      </c>
      <c r="AJ10" s="11" t="s">
        <v>535</v>
      </c>
      <c r="AK10" s="11" t="s">
        <v>536</v>
      </c>
      <c r="AL10" s="11" t="s">
        <v>537</v>
      </c>
      <c r="AN10" s="11" t="s">
        <v>536</v>
      </c>
    </row>
    <row r="11" spans="1:51">
      <c r="M11" s="95"/>
      <c r="N11" s="95"/>
      <c r="T11" s="11">
        <f t="shared" ca="1" si="9"/>
        <v>233197219</v>
      </c>
      <c r="U11" s="104">
        <f t="shared" ca="1" si="9"/>
        <v>212295485</v>
      </c>
      <c r="V11" s="106">
        <f t="shared" ca="1" si="9"/>
        <v>233422423</v>
      </c>
      <c r="X11" s="10" t="s">
        <v>462</v>
      </c>
      <c r="Z11" s="182" t="str">
        <f>_xlfn.TEXTJOIN(",",TRUE,Z$2:Z$10)</f>
        <v/>
      </c>
      <c r="AA11" s="182" t="str">
        <f t="shared" ref="AA11:AH11" si="10">_xlfn.TEXTJOIN(",",TRUE,AA$2:AA$10)</f>
        <v/>
      </c>
      <c r="AB11" s="182" t="str">
        <f t="shared" si="10"/>
        <v/>
      </c>
      <c r="AC11" s="182" t="str">
        <f t="shared" si="10"/>
        <v/>
      </c>
      <c r="AD11" s="182" t="str">
        <f t="shared" si="10"/>
        <v/>
      </c>
      <c r="AE11" s="182" t="str">
        <f t="shared" si="10"/>
        <v/>
      </c>
      <c r="AF11" s="182" t="str">
        <f t="shared" si="10"/>
        <v/>
      </c>
      <c r="AG11" s="182" t="str">
        <f t="shared" si="10"/>
        <v/>
      </c>
      <c r="AH11" s="182" t="str">
        <f t="shared" si="10"/>
        <v/>
      </c>
    </row>
    <row r="12" spans="1:51" ht="30">
      <c r="B12" s="219" t="s">
        <v>415</v>
      </c>
      <c r="C12" s="267" t="str">
        <f>IF(SUM(C2:C10)=45,"Y","")</f>
        <v>Y</v>
      </c>
      <c r="D12" s="267" t="str">
        <f t="shared" ref="D12:K12" si="11">IF(SUM(D2:D10)=45,"Y","")</f>
        <v>Y</v>
      </c>
      <c r="E12" s="267" t="str">
        <f t="shared" si="11"/>
        <v>Y</v>
      </c>
      <c r="F12" s="267" t="str">
        <f t="shared" si="11"/>
        <v>Y</v>
      </c>
      <c r="G12" s="267" t="str">
        <f t="shared" si="11"/>
        <v>Y</v>
      </c>
      <c r="H12" s="267" t="str">
        <f t="shared" si="11"/>
        <v>Y</v>
      </c>
      <c r="I12" s="267" t="str">
        <f t="shared" si="11"/>
        <v>Y</v>
      </c>
      <c r="J12" s="267" t="str">
        <f t="shared" si="11"/>
        <v>Y</v>
      </c>
      <c r="K12" s="268" t="str">
        <f t="shared" si="11"/>
        <v>Y</v>
      </c>
      <c r="T12" s="11">
        <f t="shared" ca="1" si="9"/>
        <v>214193049</v>
      </c>
      <c r="U12" s="104">
        <f t="shared" ca="1" si="9"/>
        <v>205456308</v>
      </c>
      <c r="V12" s="106">
        <f t="shared" ca="1" si="9"/>
        <v>227210650</v>
      </c>
      <c r="AI12" s="383" t="s">
        <v>465</v>
      </c>
      <c r="AJ12" s="384"/>
      <c r="AK12" s="384"/>
      <c r="AL12" s="384"/>
      <c r="AM12" s="384"/>
      <c r="AN12" s="384"/>
      <c r="AO12" s="384"/>
      <c r="AP12" s="384"/>
      <c r="AQ12" s="385"/>
    </row>
    <row r="13" spans="1:51" ht="32.25" customHeight="1">
      <c r="C13" s="93" t="str">
        <f t="shared" ref="C13:K13" si="12">Z11</f>
        <v/>
      </c>
      <c r="D13" s="243" t="str">
        <f>AA11</f>
        <v/>
      </c>
      <c r="E13" s="93" t="str">
        <f t="shared" si="12"/>
        <v/>
      </c>
      <c r="F13" s="93" t="str">
        <f t="shared" si="12"/>
        <v/>
      </c>
      <c r="G13" s="93" t="str">
        <f>AD11</f>
        <v/>
      </c>
      <c r="H13" s="88" t="str">
        <f t="shared" si="12"/>
        <v/>
      </c>
      <c r="I13" s="88" t="str">
        <f t="shared" si="12"/>
        <v/>
      </c>
      <c r="J13" s="93" t="str">
        <f t="shared" si="12"/>
        <v/>
      </c>
      <c r="K13" s="88" t="str">
        <f t="shared" si="12"/>
        <v/>
      </c>
      <c r="O13" s="10" t="s">
        <v>490</v>
      </c>
      <c r="T13" s="11">
        <f t="shared" ca="1" si="9"/>
        <v>227312696</v>
      </c>
      <c r="U13" s="104">
        <f t="shared" ca="1" si="9"/>
        <v>218308524</v>
      </c>
      <c r="V13" s="106">
        <f t="shared" ca="1" si="9"/>
        <v>223999934</v>
      </c>
      <c r="X13" s="380" t="s">
        <v>461</v>
      </c>
      <c r="Y13" s="258">
        <v>1</v>
      </c>
      <c r="Z13" s="11" t="str">
        <f t="shared" ref="Z13:Z21" si="13">IF(ISERROR(VLOOKUP($Y13,AI$13:AI$21,1,FALSE)),$Y13, "")</f>
        <v/>
      </c>
      <c r="AA13" s="11" t="str">
        <f>IF(ISERROR(VLOOKUP($Y13,AJ$13:AJ$21,1,FALSE)),$Y13, "")</f>
        <v/>
      </c>
      <c r="AB13" s="11" t="str">
        <f t="shared" ref="AB13:AH21" si="14">IF(ISERROR(VLOOKUP($Y13,AK$13:AK$21,1,FALSE)),$Y13, "")</f>
        <v/>
      </c>
      <c r="AC13" s="11" t="str">
        <f t="shared" si="14"/>
        <v/>
      </c>
      <c r="AD13" s="11" t="str">
        <f t="shared" si="14"/>
        <v/>
      </c>
      <c r="AE13" s="11" t="str">
        <f t="shared" si="14"/>
        <v/>
      </c>
      <c r="AF13" s="11" t="str">
        <f t="shared" si="14"/>
        <v/>
      </c>
      <c r="AG13" s="11" t="str">
        <f t="shared" si="14"/>
        <v/>
      </c>
      <c r="AH13" s="11" t="str">
        <f t="shared" si="14"/>
        <v/>
      </c>
      <c r="AI13" s="250" cm="1">
        <f t="array" ref="AI13:AQ21">TRANSPOSE(C2:K10)</f>
        <v>9</v>
      </c>
      <c r="AJ13" s="261">
        <v>8</v>
      </c>
      <c r="AK13" s="261">
        <v>5</v>
      </c>
      <c r="AL13" s="261">
        <v>3</v>
      </c>
      <c r="AM13" s="261">
        <v>1</v>
      </c>
      <c r="AN13" s="261">
        <v>6</v>
      </c>
      <c r="AO13" s="261">
        <v>7</v>
      </c>
      <c r="AP13" s="261">
        <v>2</v>
      </c>
      <c r="AQ13" s="251">
        <v>4</v>
      </c>
    </row>
    <row r="14" spans="1:51">
      <c r="M14" s="11" t="s">
        <v>919</v>
      </c>
      <c r="N14" s="270" t="s">
        <v>599</v>
      </c>
      <c r="O14" s="11" t="s">
        <v>489</v>
      </c>
      <c r="V14" s="106"/>
      <c r="X14" s="381"/>
      <c r="Y14" s="259">
        <v>2</v>
      </c>
      <c r="Z14" s="11" t="str">
        <f t="shared" si="13"/>
        <v/>
      </c>
      <c r="AA14" s="11" t="str">
        <f t="shared" ref="AA14:AA21" si="15">IF(ISERROR(VLOOKUP($Y14,AJ$13:AJ$21,1,FALSE)),$Y14, "")</f>
        <v/>
      </c>
      <c r="AB14" s="11" t="str">
        <f t="shared" si="14"/>
        <v/>
      </c>
      <c r="AC14" s="11" t="str">
        <f t="shared" si="14"/>
        <v/>
      </c>
      <c r="AD14" s="11" t="str">
        <f t="shared" si="14"/>
        <v/>
      </c>
      <c r="AE14" s="11" t="str">
        <f t="shared" si="14"/>
        <v/>
      </c>
      <c r="AF14" s="11" t="str">
        <f t="shared" si="14"/>
        <v/>
      </c>
      <c r="AG14" s="11" t="str">
        <f t="shared" si="14"/>
        <v/>
      </c>
      <c r="AH14" s="11" t="str">
        <f t="shared" si="14"/>
        <v/>
      </c>
      <c r="AI14" s="252">
        <v>3</v>
      </c>
      <c r="AJ14" s="262">
        <v>7</v>
      </c>
      <c r="AK14" s="262">
        <v>6</v>
      </c>
      <c r="AL14" s="262">
        <v>2</v>
      </c>
      <c r="AM14" s="262">
        <v>4</v>
      </c>
      <c r="AN14" s="262">
        <v>9</v>
      </c>
      <c r="AO14" s="262">
        <v>1</v>
      </c>
      <c r="AP14" s="262">
        <v>5</v>
      </c>
      <c r="AQ14" s="253">
        <v>8</v>
      </c>
    </row>
    <row r="15" spans="1:51">
      <c r="M15" s="11" t="s">
        <v>920</v>
      </c>
      <c r="N15" s="270" t="s">
        <v>602</v>
      </c>
      <c r="O15" s="11" t="s">
        <v>575</v>
      </c>
      <c r="R15" s="183"/>
      <c r="T15" s="11">
        <f t="shared" ca="1" si="9"/>
        <v>205834585</v>
      </c>
      <c r="U15" s="104">
        <f t="shared" ca="1" si="9"/>
        <v>214635356</v>
      </c>
      <c r="V15" s="106">
        <f t="shared" ca="1" si="9"/>
        <v>230660546</v>
      </c>
      <c r="X15" s="381"/>
      <c r="Y15" s="259">
        <v>3</v>
      </c>
      <c r="Z15" s="11" t="str">
        <f t="shared" si="13"/>
        <v/>
      </c>
      <c r="AA15" s="11" t="str">
        <f t="shared" si="15"/>
        <v/>
      </c>
      <c r="AB15" s="11" t="str">
        <f t="shared" si="14"/>
        <v/>
      </c>
      <c r="AC15" s="11" t="str">
        <f t="shared" si="14"/>
        <v/>
      </c>
      <c r="AD15" s="11" t="str">
        <f t="shared" si="14"/>
        <v/>
      </c>
      <c r="AE15" s="11" t="str">
        <f t="shared" si="14"/>
        <v/>
      </c>
      <c r="AF15" s="11" t="str">
        <f t="shared" si="14"/>
        <v/>
      </c>
      <c r="AG15" s="11" t="str">
        <f t="shared" si="14"/>
        <v/>
      </c>
      <c r="AH15" s="11" t="str">
        <f t="shared" si="14"/>
        <v/>
      </c>
      <c r="AI15" s="252">
        <v>2</v>
      </c>
      <c r="AJ15" s="262">
        <v>1</v>
      </c>
      <c r="AK15" s="262">
        <v>4</v>
      </c>
      <c r="AL15" s="262">
        <v>7</v>
      </c>
      <c r="AM15" s="262">
        <v>5</v>
      </c>
      <c r="AN15" s="262">
        <v>8</v>
      </c>
      <c r="AO15" s="262">
        <v>6</v>
      </c>
      <c r="AP15" s="262">
        <v>3</v>
      </c>
      <c r="AQ15" s="253">
        <v>9</v>
      </c>
    </row>
    <row r="16" spans="1:51" ht="24.75" customHeight="1">
      <c r="E16" s="307" t="str">
        <f>IF(SUM(C2:E4)=45,"✓",Z37)</f>
        <v>✓</v>
      </c>
      <c r="F16" s="307" t="str">
        <f>IF(SUM(F2:H4)=45,"✓",AA37)</f>
        <v>✓</v>
      </c>
      <c r="G16" s="307" t="str">
        <f>IF(SUM(I2:K4)=45,"✓",AB37)</f>
        <v>✓</v>
      </c>
      <c r="M16" s="11" t="s">
        <v>921</v>
      </c>
      <c r="N16" s="270" t="s">
        <v>603</v>
      </c>
      <c r="O16" s="257" t="s">
        <v>497</v>
      </c>
      <c r="R16" s="183"/>
      <c r="T16" s="11">
        <f t="shared" ca="1" si="9"/>
        <v>202948359</v>
      </c>
      <c r="U16" s="104">
        <f t="shared" ca="1" si="9"/>
        <v>209867816</v>
      </c>
      <c r="V16" s="106">
        <f t="shared" ca="1" si="9"/>
        <v>205030093</v>
      </c>
      <c r="X16" s="381"/>
      <c r="Y16" s="259">
        <v>4</v>
      </c>
      <c r="Z16" s="11" t="str">
        <f t="shared" si="13"/>
        <v/>
      </c>
      <c r="AA16" s="11" t="str">
        <f t="shared" si="15"/>
        <v/>
      </c>
      <c r="AB16" s="11" t="str">
        <f t="shared" si="14"/>
        <v/>
      </c>
      <c r="AC16" s="11" t="str">
        <f t="shared" si="14"/>
        <v/>
      </c>
      <c r="AD16" s="11" t="str">
        <f t="shared" si="14"/>
        <v/>
      </c>
      <c r="AE16" s="11" t="str">
        <f t="shared" si="14"/>
        <v/>
      </c>
      <c r="AF16" s="11" t="str">
        <f t="shared" si="14"/>
        <v/>
      </c>
      <c r="AG16" s="11" t="str">
        <f t="shared" si="14"/>
        <v/>
      </c>
      <c r="AH16" s="11" t="str">
        <f t="shared" si="14"/>
        <v/>
      </c>
      <c r="AI16" s="252">
        <v>4</v>
      </c>
      <c r="AJ16" s="262">
        <v>3</v>
      </c>
      <c r="AK16" s="262">
        <v>9</v>
      </c>
      <c r="AL16" s="262">
        <v>6</v>
      </c>
      <c r="AM16" s="262">
        <v>7</v>
      </c>
      <c r="AN16" s="262">
        <v>1</v>
      </c>
      <c r="AO16" s="262">
        <v>5</v>
      </c>
      <c r="AP16" s="262">
        <v>8</v>
      </c>
      <c r="AQ16" s="253">
        <v>2</v>
      </c>
    </row>
    <row r="17" spans="2:43" ht="24.75" customHeight="1">
      <c r="E17" s="307" t="str">
        <f>IF(SUM(C5:E7)=45,"✓",AC37)</f>
        <v>✓</v>
      </c>
      <c r="F17" s="307" t="str">
        <f>IF(SUM(F5:H7)=45,"✓",AD37)</f>
        <v>✓</v>
      </c>
      <c r="G17" s="307" t="str">
        <f>IF(SUM(I5:K7)=45,"✓",AE37)</f>
        <v>✓</v>
      </c>
      <c r="M17" s="11" t="s">
        <v>922</v>
      </c>
      <c r="N17" s="270" t="s">
        <v>604</v>
      </c>
      <c r="O17" s="257" t="s">
        <v>722</v>
      </c>
      <c r="R17" s="183"/>
      <c r="T17" s="11">
        <f t="shared" ca="1" si="9"/>
        <v>234405183</v>
      </c>
      <c r="U17" s="104">
        <f t="shared" ca="1" si="9"/>
        <v>207866634</v>
      </c>
      <c r="V17" s="106">
        <f t="shared" ca="1" si="9"/>
        <v>201297401</v>
      </c>
      <c r="X17" s="381"/>
      <c r="Y17" s="259">
        <v>5</v>
      </c>
      <c r="Z17" s="11" t="str">
        <f t="shared" si="13"/>
        <v/>
      </c>
      <c r="AA17" s="11" t="str">
        <f t="shared" si="15"/>
        <v/>
      </c>
      <c r="AB17" s="11" t="str">
        <f t="shared" si="14"/>
        <v/>
      </c>
      <c r="AC17" s="11" t="str">
        <f t="shared" si="14"/>
        <v/>
      </c>
      <c r="AD17" s="11" t="str">
        <f t="shared" si="14"/>
        <v/>
      </c>
      <c r="AE17" s="11" t="str">
        <f t="shared" si="14"/>
        <v/>
      </c>
      <c r="AF17" s="11" t="str">
        <f t="shared" si="14"/>
        <v/>
      </c>
      <c r="AG17" s="11" t="str">
        <f t="shared" si="14"/>
        <v/>
      </c>
      <c r="AH17" s="11" t="str">
        <f t="shared" si="14"/>
        <v/>
      </c>
      <c r="AI17" s="252">
        <v>1</v>
      </c>
      <c r="AJ17" s="262">
        <v>2</v>
      </c>
      <c r="AK17" s="262">
        <v>7</v>
      </c>
      <c r="AL17" s="262">
        <v>8</v>
      </c>
      <c r="AM17" s="262">
        <v>3</v>
      </c>
      <c r="AN17" s="262">
        <v>5</v>
      </c>
      <c r="AO17" s="262">
        <v>9</v>
      </c>
      <c r="AP17" s="262">
        <v>4</v>
      </c>
      <c r="AQ17" s="253">
        <v>6</v>
      </c>
    </row>
    <row r="18" spans="2:43" ht="24.75" customHeight="1">
      <c r="E18" s="307" t="str">
        <f>IF(SUM(C8:E10)=45,"✓",AF37)</f>
        <v>✓</v>
      </c>
      <c r="F18" s="307" t="str">
        <f>IF(SUM(F8:H10)=45,"✓",AG37)</f>
        <v>✓</v>
      </c>
      <c r="G18" s="307" t="str">
        <f>IF(SUM(I8:K10)=45,"✓",AH37)</f>
        <v>✓</v>
      </c>
      <c r="M18" s="11" t="s">
        <v>925</v>
      </c>
      <c r="N18" s="270" t="s">
        <v>519</v>
      </c>
      <c r="O18" s="257" t="s">
        <v>497</v>
      </c>
      <c r="R18" s="183"/>
      <c r="T18" s="11">
        <f t="shared" ca="1" si="9"/>
        <v>232692685</v>
      </c>
      <c r="U18" s="104">
        <f t="shared" ca="1" si="9"/>
        <v>210303709</v>
      </c>
      <c r="V18" s="106">
        <f t="shared" ca="1" si="9"/>
        <v>222666964</v>
      </c>
      <c r="X18" s="381"/>
      <c r="Y18" s="259">
        <v>6</v>
      </c>
      <c r="Z18" s="11" t="str">
        <f t="shared" si="13"/>
        <v/>
      </c>
      <c r="AA18" s="11" t="str">
        <f t="shared" si="15"/>
        <v/>
      </c>
      <c r="AB18" s="11" t="str">
        <f t="shared" si="14"/>
        <v/>
      </c>
      <c r="AC18" s="11" t="str">
        <f t="shared" si="14"/>
        <v/>
      </c>
      <c r="AD18" s="11" t="str">
        <f t="shared" si="14"/>
        <v/>
      </c>
      <c r="AE18" s="11" t="str">
        <f t="shared" si="14"/>
        <v/>
      </c>
      <c r="AF18" s="11" t="str">
        <f t="shared" si="14"/>
        <v/>
      </c>
      <c r="AG18" s="11" t="str">
        <f t="shared" si="14"/>
        <v/>
      </c>
      <c r="AH18" s="11" t="str">
        <f t="shared" si="14"/>
        <v/>
      </c>
      <c r="AI18" s="252">
        <v>6</v>
      </c>
      <c r="AJ18" s="262">
        <v>5</v>
      </c>
      <c r="AK18" s="262">
        <v>8</v>
      </c>
      <c r="AL18" s="262">
        <v>4</v>
      </c>
      <c r="AM18" s="262">
        <v>9</v>
      </c>
      <c r="AN18" s="262">
        <v>2</v>
      </c>
      <c r="AO18" s="262">
        <v>3</v>
      </c>
      <c r="AP18" s="262">
        <v>7</v>
      </c>
      <c r="AQ18" s="253">
        <v>1</v>
      </c>
    </row>
    <row r="19" spans="2:43">
      <c r="E19" s="241"/>
      <c r="F19" s="241"/>
      <c r="H19" s="11" t="str">
        <f>IF(SUM(E2:E10)=45,"","")</f>
        <v/>
      </c>
      <c r="M19" s="11" t="s">
        <v>810</v>
      </c>
      <c r="N19" s="270" t="s">
        <v>530</v>
      </c>
      <c r="O19" s="98" t="s">
        <v>886</v>
      </c>
      <c r="R19" s="183"/>
      <c r="U19" s="11"/>
      <c r="V19" s="11"/>
      <c r="X19" s="381"/>
      <c r="Y19" s="259">
        <v>7</v>
      </c>
      <c r="Z19" s="11" t="str">
        <f t="shared" si="13"/>
        <v/>
      </c>
      <c r="AA19" s="11" t="str">
        <f t="shared" si="15"/>
        <v/>
      </c>
      <c r="AB19" s="11" t="str">
        <f t="shared" si="14"/>
        <v/>
      </c>
      <c r="AC19" s="11" t="str">
        <f t="shared" si="14"/>
        <v/>
      </c>
      <c r="AD19" s="11" t="str">
        <f t="shared" si="14"/>
        <v/>
      </c>
      <c r="AE19" s="11" t="str">
        <f t="shared" si="14"/>
        <v/>
      </c>
      <c r="AF19" s="11" t="str">
        <f t="shared" si="14"/>
        <v/>
      </c>
      <c r="AG19" s="11" t="str">
        <f t="shared" si="14"/>
        <v/>
      </c>
      <c r="AH19" s="11" t="str">
        <f t="shared" si="14"/>
        <v/>
      </c>
      <c r="AI19" s="252">
        <v>8</v>
      </c>
      <c r="AJ19" s="262">
        <v>9</v>
      </c>
      <c r="AK19" s="262">
        <v>1</v>
      </c>
      <c r="AL19" s="262">
        <v>5</v>
      </c>
      <c r="AM19" s="262">
        <v>2</v>
      </c>
      <c r="AN19" s="262">
        <v>7</v>
      </c>
      <c r="AO19" s="262">
        <v>4</v>
      </c>
      <c r="AP19" s="262">
        <v>6</v>
      </c>
      <c r="AQ19" s="253">
        <v>3</v>
      </c>
    </row>
    <row r="20" spans="2:43" ht="15.75" thickBot="1">
      <c r="J20" s="11" t="s">
        <v>6</v>
      </c>
      <c r="K20" s="306"/>
      <c r="M20" s="11" t="s">
        <v>926</v>
      </c>
      <c r="N20" s="270" t="s">
        <v>745</v>
      </c>
      <c r="O20" s="257" t="s">
        <v>923</v>
      </c>
      <c r="R20" s="183"/>
      <c r="U20" s="11"/>
      <c r="V20" s="11"/>
      <c r="X20" s="381"/>
      <c r="Y20" s="259">
        <v>8</v>
      </c>
      <c r="Z20" s="11" t="str">
        <f t="shared" si="13"/>
        <v/>
      </c>
      <c r="AA20" s="11" t="str">
        <f t="shared" si="15"/>
        <v/>
      </c>
      <c r="AB20" s="11" t="str">
        <f t="shared" si="14"/>
        <v/>
      </c>
      <c r="AC20" s="11" t="str">
        <f t="shared" si="14"/>
        <v/>
      </c>
      <c r="AD20" s="11" t="str">
        <f t="shared" si="14"/>
        <v/>
      </c>
      <c r="AE20" s="11" t="str">
        <f t="shared" si="14"/>
        <v/>
      </c>
      <c r="AF20" s="11" t="str">
        <f t="shared" si="14"/>
        <v/>
      </c>
      <c r="AG20" s="11" t="str">
        <f t="shared" si="14"/>
        <v/>
      </c>
      <c r="AH20" s="11" t="str">
        <f t="shared" si="14"/>
        <v/>
      </c>
      <c r="AI20" s="252">
        <v>5</v>
      </c>
      <c r="AJ20" s="262">
        <v>6</v>
      </c>
      <c r="AK20" s="262">
        <v>3</v>
      </c>
      <c r="AL20" s="262">
        <v>9</v>
      </c>
      <c r="AM20" s="262">
        <v>8</v>
      </c>
      <c r="AN20" s="262">
        <v>4</v>
      </c>
      <c r="AO20" s="262">
        <v>2</v>
      </c>
      <c r="AP20" s="262">
        <v>1</v>
      </c>
      <c r="AQ20" s="253">
        <v>7</v>
      </c>
    </row>
    <row r="21" spans="2:43" ht="19.5" thickBot="1">
      <c r="B21" s="401" t="s">
        <v>416</v>
      </c>
      <c r="C21" s="402"/>
      <c r="D21" s="403"/>
      <c r="F21" s="15" t="s">
        <v>9</v>
      </c>
      <c r="G21" s="15"/>
      <c r="H21" s="15"/>
      <c r="I21" s="15"/>
      <c r="J21" s="11" t="s">
        <v>6</v>
      </c>
      <c r="M21" s="11" t="s">
        <v>927</v>
      </c>
      <c r="N21" s="270" t="s">
        <v>747</v>
      </c>
      <c r="O21" s="98" t="s">
        <v>894</v>
      </c>
      <c r="R21" s="183"/>
      <c r="U21" s="11"/>
      <c r="V21" s="11"/>
      <c r="X21" s="382"/>
      <c r="Y21" s="260">
        <v>9</v>
      </c>
      <c r="Z21" s="11" t="str">
        <f t="shared" si="13"/>
        <v/>
      </c>
      <c r="AA21" s="11" t="str">
        <f t="shared" si="15"/>
        <v/>
      </c>
      <c r="AB21" s="11" t="str">
        <f t="shared" si="14"/>
        <v/>
      </c>
      <c r="AC21" s="11" t="str">
        <f t="shared" si="14"/>
        <v/>
      </c>
      <c r="AD21" s="11" t="str">
        <f t="shared" si="14"/>
        <v/>
      </c>
      <c r="AE21" s="11" t="str">
        <f t="shared" si="14"/>
        <v/>
      </c>
      <c r="AF21" s="11" t="str">
        <f t="shared" si="14"/>
        <v/>
      </c>
      <c r="AG21" s="11" t="str">
        <f t="shared" si="14"/>
        <v/>
      </c>
      <c r="AH21" s="11" t="str">
        <f t="shared" si="14"/>
        <v/>
      </c>
      <c r="AI21" s="254">
        <v>7</v>
      </c>
      <c r="AJ21" s="26">
        <v>4</v>
      </c>
      <c r="AK21" s="26">
        <v>2</v>
      </c>
      <c r="AL21" s="26">
        <v>1</v>
      </c>
      <c r="AM21" s="26">
        <v>6</v>
      </c>
      <c r="AN21" s="26">
        <v>3</v>
      </c>
      <c r="AO21" s="26">
        <v>8</v>
      </c>
      <c r="AP21" s="26">
        <v>9</v>
      </c>
      <c r="AQ21" s="255">
        <v>5</v>
      </c>
    </row>
    <row r="22" spans="2:43">
      <c r="B22" s="386" t="s">
        <v>413</v>
      </c>
      <c r="C22" s="387"/>
      <c r="D22" s="388"/>
      <c r="F22" s="60" t="s">
        <v>319</v>
      </c>
      <c r="G22" s="60"/>
      <c r="H22" s="60"/>
      <c r="I22" s="60"/>
      <c r="J22" s="11" t="s">
        <v>6</v>
      </c>
      <c r="M22" s="11" t="s">
        <v>928</v>
      </c>
      <c r="N22" s="270" t="s">
        <v>835</v>
      </c>
      <c r="O22" s="10" t="s">
        <v>836</v>
      </c>
      <c r="R22" s="183"/>
      <c r="U22" s="11"/>
      <c r="V22" s="11"/>
      <c r="Y22" s="257"/>
      <c r="Z22" s="182" t="str">
        <f>_xlfn.TEXTJOIN(",",TRUE,Z$13:Z$21)</f>
        <v/>
      </c>
      <c r="AA22" s="182" t="str">
        <f t="shared" ref="AA22:AH22" si="16">_xlfn.TEXTJOIN(",",TRUE,AA$13:AA$21)</f>
        <v/>
      </c>
      <c r="AB22" s="182" t="str">
        <f t="shared" si="16"/>
        <v/>
      </c>
      <c r="AC22" s="182" t="str">
        <f t="shared" si="16"/>
        <v/>
      </c>
      <c r="AD22" s="182" t="str">
        <f t="shared" si="16"/>
        <v/>
      </c>
      <c r="AE22" s="182" t="str">
        <f t="shared" si="16"/>
        <v/>
      </c>
      <c r="AF22" s="182" t="str">
        <f t="shared" si="16"/>
        <v/>
      </c>
      <c r="AG22" s="182" t="str">
        <f t="shared" si="16"/>
        <v/>
      </c>
      <c r="AH22" s="182" t="str">
        <f t="shared" si="16"/>
        <v/>
      </c>
    </row>
    <row r="23" spans="2:43" ht="15" customHeight="1">
      <c r="B23" s="392" t="s">
        <v>438</v>
      </c>
      <c r="C23" s="393"/>
      <c r="D23" s="394"/>
      <c r="F23" s="61" t="s">
        <v>346</v>
      </c>
      <c r="G23" s="61"/>
      <c r="H23" s="61"/>
      <c r="I23" s="61"/>
      <c r="J23" s="262" t="s">
        <v>6</v>
      </c>
      <c r="M23" s="11" t="s">
        <v>929</v>
      </c>
      <c r="N23" s="270" t="s">
        <v>876</v>
      </c>
      <c r="O23" s="98" t="s">
        <v>877</v>
      </c>
      <c r="R23" s="183"/>
      <c r="U23" s="11"/>
      <c r="V23" s="11"/>
      <c r="Z23" s="11" t="s">
        <v>538</v>
      </c>
      <c r="AA23" s="11" t="s">
        <v>539</v>
      </c>
      <c r="AB23" s="11" t="s">
        <v>540</v>
      </c>
      <c r="AC23" s="11" t="s">
        <v>541</v>
      </c>
      <c r="AD23" s="11" t="s">
        <v>542</v>
      </c>
      <c r="AE23" s="11" t="s">
        <v>543</v>
      </c>
      <c r="AF23" s="11" t="s">
        <v>544</v>
      </c>
      <c r="AG23" s="11" t="s">
        <v>545</v>
      </c>
      <c r="AH23" s="11" t="s">
        <v>546</v>
      </c>
    </row>
    <row r="24" spans="2:43">
      <c r="B24" s="395" t="s">
        <v>414</v>
      </c>
      <c r="C24" s="396"/>
      <c r="D24" s="397"/>
      <c r="F24" s="269" t="s">
        <v>319</v>
      </c>
      <c r="G24" s="269"/>
      <c r="H24" s="309"/>
      <c r="I24" s="269"/>
      <c r="J24" s="11" t="s">
        <v>6</v>
      </c>
      <c r="N24" s="270"/>
      <c r="O24" s="257"/>
      <c r="R24" s="183"/>
      <c r="U24" s="11"/>
      <c r="V24" s="11"/>
      <c r="Z24" s="389" t="s">
        <v>534</v>
      </c>
      <c r="AA24" s="390"/>
      <c r="AB24" s="390"/>
      <c r="AC24" s="390"/>
      <c r="AD24" s="390"/>
      <c r="AE24" s="390"/>
      <c r="AF24" s="390"/>
      <c r="AG24" s="390"/>
      <c r="AH24" s="391"/>
      <c r="AI24" s="290" t="s">
        <v>451</v>
      </c>
      <c r="AJ24" s="291" t="s">
        <v>452</v>
      </c>
      <c r="AK24" s="291" t="s">
        <v>453</v>
      </c>
      <c r="AL24" s="291" t="s">
        <v>454</v>
      </c>
      <c r="AM24" s="291" t="s">
        <v>455</v>
      </c>
      <c r="AN24" s="291" t="s">
        <v>456</v>
      </c>
      <c r="AO24" s="291" t="s">
        <v>457</v>
      </c>
      <c r="AP24" s="291" t="s">
        <v>458</v>
      </c>
      <c r="AQ24" s="215" t="s">
        <v>459</v>
      </c>
    </row>
    <row r="25" spans="2:43" ht="17.25" customHeight="1" thickBot="1">
      <c r="B25" s="398" t="s">
        <v>426</v>
      </c>
      <c r="C25" s="399"/>
      <c r="D25" s="400"/>
      <c r="F25" s="310" t="s">
        <v>111</v>
      </c>
      <c r="G25" s="310"/>
      <c r="H25" s="310"/>
      <c r="I25" s="310"/>
      <c r="J25" s="11" t="s">
        <v>6</v>
      </c>
      <c r="R25" s="183"/>
      <c r="U25" s="11"/>
      <c r="V25" s="11"/>
      <c r="X25" s="380" t="s">
        <v>464</v>
      </c>
      <c r="Y25" s="257">
        <v>1</v>
      </c>
      <c r="Z25" s="285" t="str">
        <f t="shared" ref="Z25:AH25" si="17">IF(ISERROR(VLOOKUP($Y25,AI$25:AI$36,1,FALSE)),$Y25, "")</f>
        <v/>
      </c>
      <c r="AA25" s="295" t="str">
        <f t="shared" si="17"/>
        <v/>
      </c>
      <c r="AB25" s="295" t="str">
        <f t="shared" si="17"/>
        <v/>
      </c>
      <c r="AC25" s="295" t="str">
        <f t="shared" si="17"/>
        <v/>
      </c>
      <c r="AD25" s="295" t="str">
        <f t="shared" si="17"/>
        <v/>
      </c>
      <c r="AE25" s="295" t="str">
        <f t="shared" si="17"/>
        <v/>
      </c>
      <c r="AF25" s="295" t="str">
        <f t="shared" si="17"/>
        <v/>
      </c>
      <c r="AG25" s="295" t="str">
        <f t="shared" si="17"/>
        <v/>
      </c>
      <c r="AH25" s="297" t="str">
        <f t="shared" si="17"/>
        <v/>
      </c>
      <c r="AI25" s="295" cm="1">
        <f t="array" ref="AI25:AI27">C2:C4</f>
        <v>9</v>
      </c>
      <c r="AJ25" s="295" cm="1">
        <f t="array" ref="AJ25:AJ27">F2:F4</f>
        <v>4</v>
      </c>
      <c r="AK25" s="295" cm="1">
        <f t="array" ref="AK25:AK27">I2:I4</f>
        <v>8</v>
      </c>
      <c r="AL25" s="285" cm="1">
        <f t="array" ref="AL25:AL27">C5:C7</f>
        <v>3</v>
      </c>
      <c r="AM25" s="295" cm="1">
        <f t="array" ref="AM25:AM27">F5:F7</f>
        <v>6</v>
      </c>
      <c r="AN25" s="295" cm="1">
        <f t="array" ref="AN25:AN27">I5:I7</f>
        <v>5</v>
      </c>
      <c r="AO25" s="285" cm="1">
        <f t="array" ref="AO25:AO27">C8:C10</f>
        <v>7</v>
      </c>
      <c r="AP25" s="295" cm="1">
        <f t="array" ref="AP25:AP27">F8:F10</f>
        <v>5</v>
      </c>
      <c r="AQ25" s="297" cm="1">
        <f t="array" ref="AQ25:AQ27">I8:I10</f>
        <v>4</v>
      </c>
    </row>
    <row r="26" spans="2:43" ht="17.25" customHeight="1">
      <c r="F26" s="320" t="s">
        <v>337</v>
      </c>
      <c r="G26" s="321"/>
      <c r="H26" s="321"/>
      <c r="I26" s="322"/>
      <c r="J26" s="11" t="s">
        <v>6</v>
      </c>
      <c r="R26" s="183"/>
      <c r="U26" s="11"/>
      <c r="V26" s="11"/>
      <c r="X26" s="381"/>
      <c r="Y26" s="257"/>
      <c r="Z26" s="138"/>
      <c r="AA26" s="299"/>
      <c r="AB26" s="299"/>
      <c r="AC26" s="299"/>
      <c r="AD26" s="299"/>
      <c r="AE26" s="299"/>
      <c r="AF26" s="299"/>
      <c r="AG26" s="299"/>
      <c r="AH26" s="301"/>
      <c r="AI26" s="299">
        <v>8</v>
      </c>
      <c r="AJ26" s="299">
        <v>3</v>
      </c>
      <c r="AK26" s="299">
        <v>9</v>
      </c>
      <c r="AL26" s="138">
        <v>1</v>
      </c>
      <c r="AM26" s="299">
        <v>7</v>
      </c>
      <c r="AN26" s="299">
        <v>2</v>
      </c>
      <c r="AO26" s="138">
        <v>2</v>
      </c>
      <c r="AP26" s="299">
        <v>8</v>
      </c>
      <c r="AQ26" s="301">
        <v>6</v>
      </c>
    </row>
    <row r="27" spans="2:43" ht="17.25" customHeight="1">
      <c r="F27" s="314" t="s">
        <v>332</v>
      </c>
      <c r="G27" s="315"/>
      <c r="H27" s="315"/>
      <c r="I27" s="316"/>
      <c r="J27" s="11" t="s">
        <v>6</v>
      </c>
      <c r="R27" s="183"/>
      <c r="U27" s="11"/>
      <c r="V27" s="11"/>
      <c r="X27" s="381"/>
      <c r="Y27" s="257"/>
      <c r="Z27" s="138"/>
      <c r="AA27" s="299"/>
      <c r="AB27" s="299"/>
      <c r="AC27" s="299"/>
      <c r="AD27" s="299"/>
      <c r="AE27" s="299"/>
      <c r="AF27" s="299"/>
      <c r="AG27" s="299"/>
      <c r="AH27" s="301"/>
      <c r="AI27" s="299">
        <v>5</v>
      </c>
      <c r="AJ27" s="299">
        <v>9</v>
      </c>
      <c r="AK27" s="299">
        <v>1</v>
      </c>
      <c r="AL27" s="138">
        <v>6</v>
      </c>
      <c r="AM27" s="299">
        <v>1</v>
      </c>
      <c r="AN27" s="299">
        <v>7</v>
      </c>
      <c r="AO27" s="138">
        <v>4</v>
      </c>
      <c r="AP27" s="299">
        <v>2</v>
      </c>
      <c r="AQ27" s="301">
        <v>3</v>
      </c>
    </row>
    <row r="28" spans="2:43" ht="17.25" customHeight="1">
      <c r="F28" s="332" t="s">
        <v>330</v>
      </c>
      <c r="G28" s="333"/>
      <c r="H28" s="333"/>
      <c r="I28" s="334"/>
      <c r="J28" s="11" t="s">
        <v>6</v>
      </c>
      <c r="R28" s="183"/>
      <c r="U28" s="11"/>
      <c r="V28" s="11"/>
      <c r="X28" s="381"/>
      <c r="Y28" s="257"/>
      <c r="Z28" s="138"/>
      <c r="AA28" s="299"/>
      <c r="AB28" s="299"/>
      <c r="AC28" s="299"/>
      <c r="AD28" s="299"/>
      <c r="AE28" s="299"/>
      <c r="AF28" s="299"/>
      <c r="AG28" s="299"/>
      <c r="AH28" s="301"/>
      <c r="AI28" s="299"/>
      <c r="AJ28" s="299"/>
      <c r="AK28" s="299"/>
      <c r="AL28" s="138"/>
      <c r="AM28" s="299"/>
      <c r="AN28" s="299"/>
      <c r="AO28" s="138"/>
      <c r="AP28" s="299"/>
      <c r="AQ28" s="301"/>
    </row>
    <row r="29" spans="2:43">
      <c r="B29" s="335"/>
      <c r="J29" s="11" t="s">
        <v>6</v>
      </c>
      <c r="R29" s="183"/>
      <c r="U29" s="11"/>
      <c r="V29" s="11"/>
      <c r="X29" s="381"/>
      <c r="Y29" s="257">
        <v>2</v>
      </c>
      <c r="Z29" s="138" t="str">
        <f t="shared" ref="Z29:AH36" si="18">IF(ISERROR(VLOOKUP($Y29,AI$25:AI$36,1,FALSE)),$Y29, "")</f>
        <v/>
      </c>
      <c r="AA29" s="299" t="str">
        <f t="shared" si="18"/>
        <v/>
      </c>
      <c r="AB29" s="299" t="str">
        <f t="shared" si="18"/>
        <v/>
      </c>
      <c r="AC29" s="299" t="str">
        <f t="shared" si="18"/>
        <v/>
      </c>
      <c r="AD29" s="299" t="str">
        <f t="shared" si="18"/>
        <v/>
      </c>
      <c r="AE29" s="299" t="str">
        <f t="shared" si="18"/>
        <v/>
      </c>
      <c r="AF29" s="299" t="str">
        <f t="shared" si="18"/>
        <v/>
      </c>
      <c r="AG29" s="299" t="str">
        <f t="shared" si="18"/>
        <v/>
      </c>
      <c r="AH29" s="301" t="str">
        <f t="shared" si="18"/>
        <v/>
      </c>
      <c r="AI29" s="262"/>
      <c r="AJ29" s="262"/>
      <c r="AK29" s="262"/>
      <c r="AL29" s="252"/>
      <c r="AM29" s="262"/>
      <c r="AN29" s="262"/>
      <c r="AO29" s="252"/>
      <c r="AP29" s="262"/>
      <c r="AQ29" s="253"/>
    </row>
    <row r="30" spans="2:43" ht="15" hidden="1" customHeight="1">
      <c r="F30" s="317" t="s">
        <v>298</v>
      </c>
      <c r="G30" s="318"/>
      <c r="H30" s="318"/>
      <c r="I30" s="319"/>
      <c r="R30" s="183"/>
      <c r="U30" s="11"/>
      <c r="V30" s="11"/>
      <c r="X30" s="381"/>
      <c r="Y30" s="257">
        <v>3</v>
      </c>
      <c r="Z30" s="138" t="str">
        <f t="shared" si="18"/>
        <v/>
      </c>
      <c r="AA30" s="299" t="str">
        <f t="shared" si="18"/>
        <v/>
      </c>
      <c r="AB30" s="299" t="str">
        <f t="shared" si="18"/>
        <v/>
      </c>
      <c r="AC30" s="299" t="str">
        <f t="shared" si="18"/>
        <v/>
      </c>
      <c r="AD30" s="299" t="str">
        <f t="shared" si="18"/>
        <v/>
      </c>
      <c r="AE30" s="299" t="str">
        <f t="shared" si="18"/>
        <v/>
      </c>
      <c r="AF30" s="299" t="str">
        <f t="shared" si="18"/>
        <v/>
      </c>
      <c r="AG30" s="299" t="str">
        <f t="shared" si="18"/>
        <v/>
      </c>
      <c r="AH30" s="301" t="str">
        <f t="shared" si="18"/>
        <v/>
      </c>
      <c r="AI30" s="26"/>
      <c r="AJ30" s="26"/>
      <c r="AK30" s="26"/>
      <c r="AL30" s="254"/>
      <c r="AM30" s="26"/>
      <c r="AN30" s="26"/>
      <c r="AO30" s="254"/>
      <c r="AP30" s="26"/>
      <c r="AQ30" s="255"/>
    </row>
    <row r="31" spans="2:43" ht="15" hidden="1" customHeight="1">
      <c r="F31" s="311"/>
      <c r="G31" s="312"/>
      <c r="H31" s="312"/>
      <c r="I31" s="313"/>
      <c r="R31" s="183"/>
      <c r="U31" s="11"/>
      <c r="V31" s="11"/>
      <c r="X31" s="381"/>
      <c r="Y31" s="257">
        <v>4</v>
      </c>
      <c r="Z31" s="138" t="str">
        <f t="shared" si="18"/>
        <v/>
      </c>
      <c r="AA31" s="299" t="str">
        <f t="shared" si="18"/>
        <v/>
      </c>
      <c r="AB31" s="299" t="str">
        <f t="shared" si="18"/>
        <v/>
      </c>
      <c r="AC31" s="299" t="str">
        <f t="shared" si="18"/>
        <v/>
      </c>
      <c r="AD31" s="299" t="str">
        <f t="shared" si="18"/>
        <v/>
      </c>
      <c r="AE31" s="299" t="str">
        <f t="shared" si="18"/>
        <v/>
      </c>
      <c r="AF31" s="299" t="str">
        <f t="shared" si="18"/>
        <v/>
      </c>
      <c r="AG31" s="299" t="str">
        <f t="shared" si="18"/>
        <v/>
      </c>
      <c r="AH31" s="301" t="str">
        <f t="shared" si="18"/>
        <v/>
      </c>
      <c r="AI31" s="296" cm="1">
        <f t="array" ref="AI31:AI33">D2:D4</f>
        <v>3</v>
      </c>
      <c r="AJ31" s="296" cm="1">
        <f t="array" ref="AJ31:AJ33">G2:G4</f>
        <v>1</v>
      </c>
      <c r="AK31" s="296" cm="1">
        <f t="array" ref="AK31:AK33">J2:J4</f>
        <v>5</v>
      </c>
      <c r="AL31" s="294" cm="1">
        <f t="array" ref="AL31:AL33">D5:D7</f>
        <v>2</v>
      </c>
      <c r="AM31" s="296" cm="1">
        <f t="array" ref="AM31:AM33">G5:G7</f>
        <v>8</v>
      </c>
      <c r="AN31" s="296" cm="1">
        <f t="array" ref="AN31:AN33">J5:J7</f>
        <v>9</v>
      </c>
      <c r="AO31" s="294" cm="1">
        <f t="array" ref="AO31:AO33">D8:D10</f>
        <v>1</v>
      </c>
      <c r="AP31" s="296" cm="1">
        <f t="array" ref="AP31:AP33">G8:G10</f>
        <v>9</v>
      </c>
      <c r="AQ31" s="298" cm="1">
        <f t="array" ref="AQ31:AQ33">J8:J10</f>
        <v>2</v>
      </c>
    </row>
    <row r="32" spans="2:43" ht="15" hidden="1" customHeight="1">
      <c r="F32" s="311"/>
      <c r="G32" s="312"/>
      <c r="H32" s="312"/>
      <c r="I32" s="313"/>
      <c r="N32" s="250"/>
      <c r="O32" s="256" t="e">
        <f>IF(ISERROR(VLOOKUP(#REF!,$N$32:$N$40,1,FALSE)),#REF!,"")</f>
        <v>#REF!</v>
      </c>
      <c r="R32" s="183"/>
      <c r="U32" s="11"/>
      <c r="V32" s="11"/>
      <c r="X32" s="381"/>
      <c r="Y32" s="257">
        <v>5</v>
      </c>
      <c r="Z32" s="138" t="str">
        <f t="shared" si="18"/>
        <v/>
      </c>
      <c r="AA32" s="299" t="str">
        <f t="shared" si="18"/>
        <v/>
      </c>
      <c r="AB32" s="299" t="str">
        <f t="shared" si="18"/>
        <v/>
      </c>
      <c r="AC32" s="299" t="str">
        <f t="shared" si="18"/>
        <v/>
      </c>
      <c r="AD32" s="299" t="str">
        <f t="shared" si="18"/>
        <v/>
      </c>
      <c r="AE32" s="299" t="str">
        <f t="shared" si="18"/>
        <v/>
      </c>
      <c r="AF32" s="299" t="str">
        <f t="shared" si="18"/>
        <v/>
      </c>
      <c r="AG32" s="299" t="str">
        <f t="shared" si="18"/>
        <v/>
      </c>
      <c r="AH32" s="301" t="str">
        <f t="shared" si="18"/>
        <v/>
      </c>
      <c r="AI32" s="287">
        <v>7</v>
      </c>
      <c r="AJ32" s="287">
        <v>2</v>
      </c>
      <c r="AK32" s="287">
        <v>6</v>
      </c>
      <c r="AL32" s="286">
        <v>4</v>
      </c>
      <c r="AM32" s="287">
        <v>3</v>
      </c>
      <c r="AN32" s="287">
        <v>8</v>
      </c>
      <c r="AO32" s="286">
        <v>5</v>
      </c>
      <c r="AP32" s="287">
        <v>4</v>
      </c>
      <c r="AQ32" s="292">
        <v>1</v>
      </c>
    </row>
    <row r="33" spans="3:43" ht="15" hidden="1" customHeight="1">
      <c r="F33" s="311"/>
      <c r="G33" s="312"/>
      <c r="H33" s="312"/>
      <c r="I33" s="313"/>
      <c r="N33" s="252">
        <v>8</v>
      </c>
      <c r="O33" s="256" t="e">
        <f>IF(ISERROR(VLOOKUP(#REF!,$N$32:$N$40,1,FALSE)),#REF!,"")</f>
        <v>#REF!</v>
      </c>
      <c r="U33" s="11"/>
      <c r="V33" s="11"/>
      <c r="X33" s="381"/>
      <c r="Y33" s="257">
        <v>6</v>
      </c>
      <c r="Z33" s="138" t="str">
        <f t="shared" si="18"/>
        <v/>
      </c>
      <c r="AA33" s="299" t="str">
        <f t="shared" si="18"/>
        <v/>
      </c>
      <c r="AB33" s="299" t="str">
        <f t="shared" si="18"/>
        <v/>
      </c>
      <c r="AC33" s="299" t="str">
        <f t="shared" si="18"/>
        <v/>
      </c>
      <c r="AD33" s="299" t="str">
        <f t="shared" si="18"/>
        <v/>
      </c>
      <c r="AE33" s="299" t="str">
        <f t="shared" si="18"/>
        <v/>
      </c>
      <c r="AF33" s="299" t="str">
        <f t="shared" si="18"/>
        <v/>
      </c>
      <c r="AG33" s="299" t="str">
        <f t="shared" si="18"/>
        <v/>
      </c>
      <c r="AH33" s="301" t="str">
        <f t="shared" si="18"/>
        <v/>
      </c>
      <c r="AI33" s="289">
        <v>6</v>
      </c>
      <c r="AJ33" s="289">
        <v>7</v>
      </c>
      <c r="AK33" s="289">
        <v>3</v>
      </c>
      <c r="AL33" s="288">
        <v>9</v>
      </c>
      <c r="AM33" s="289">
        <v>5</v>
      </c>
      <c r="AN33" s="289">
        <v>4</v>
      </c>
      <c r="AO33" s="288">
        <v>8</v>
      </c>
      <c r="AP33" s="289">
        <v>6</v>
      </c>
      <c r="AQ33" s="293">
        <v>7</v>
      </c>
    </row>
    <row r="34" spans="3:43" ht="15" hidden="1" customHeight="1">
      <c r="C34" s="11" t="s">
        <v>600</v>
      </c>
      <c r="F34" s="311"/>
      <c r="G34" s="312"/>
      <c r="H34" s="312"/>
      <c r="I34" s="313"/>
      <c r="N34" s="252">
        <v>7</v>
      </c>
      <c r="O34" s="256" t="e">
        <f>IF(ISERROR(VLOOKUP(#REF!,$N$32:$N$40,1,FALSE)),#REF!,"")</f>
        <v>#REF!</v>
      </c>
      <c r="U34" s="11"/>
      <c r="V34" s="11"/>
      <c r="X34" s="381"/>
      <c r="Y34" s="257">
        <v>7</v>
      </c>
      <c r="Z34" s="138" t="str">
        <f t="shared" si="18"/>
        <v/>
      </c>
      <c r="AA34" s="299" t="str">
        <f t="shared" si="18"/>
        <v/>
      </c>
      <c r="AB34" s="299" t="str">
        <f t="shared" si="18"/>
        <v/>
      </c>
      <c r="AC34" s="299" t="str">
        <f t="shared" si="18"/>
        <v/>
      </c>
      <c r="AD34" s="299" t="str">
        <f t="shared" si="18"/>
        <v/>
      </c>
      <c r="AE34" s="299" t="str">
        <f t="shared" si="18"/>
        <v/>
      </c>
      <c r="AF34" s="299" t="str">
        <f t="shared" si="18"/>
        <v/>
      </c>
      <c r="AG34" s="299" t="str">
        <f t="shared" si="18"/>
        <v/>
      </c>
      <c r="AH34" s="301" t="str">
        <f t="shared" si="18"/>
        <v/>
      </c>
      <c r="AI34" s="295" cm="1">
        <f t="array" ref="AI34:AI36">E2:E4</f>
        <v>2</v>
      </c>
      <c r="AJ34" s="295" cm="1">
        <f t="array" ref="AJ34:AJ36">H2:H4</f>
        <v>6</v>
      </c>
      <c r="AK34" s="295" cm="1">
        <f t="array" ref="AK34:AK36">K2:K4</f>
        <v>7</v>
      </c>
      <c r="AL34" s="285" cm="1">
        <f t="array" ref="AL34:AL36">E5:E7</f>
        <v>7</v>
      </c>
      <c r="AM34" s="295" cm="1">
        <f t="array" ref="AM34:AM36">H5:H7</f>
        <v>4</v>
      </c>
      <c r="AN34" s="295" cm="1">
        <f t="array" ref="AN34:AN36">K5:K7</f>
        <v>1</v>
      </c>
      <c r="AO34" s="285" cm="1">
        <f t="array" ref="AO34:AO36">E8:E10</f>
        <v>6</v>
      </c>
      <c r="AP34" s="295" cm="1">
        <f t="array" ref="AP34:AP36">H8:H10</f>
        <v>3</v>
      </c>
      <c r="AQ34" s="297" cm="1">
        <f t="array" ref="AQ34:AQ36">K8:K10</f>
        <v>8</v>
      </c>
    </row>
    <row r="35" spans="3:43" ht="15" hidden="1" customHeight="1">
      <c r="C35" s="257" t="s">
        <v>601</v>
      </c>
      <c r="F35" s="311"/>
      <c r="G35" s="312"/>
      <c r="H35" s="312"/>
      <c r="I35" s="313"/>
      <c r="N35" s="252">
        <v>3</v>
      </c>
      <c r="O35" s="256" t="e">
        <f>IF(ISERROR(VLOOKUP(#REF!,$N$32:$N$40,1,FALSE)),#REF!,"")</f>
        <v>#REF!</v>
      </c>
      <c r="U35" s="11"/>
      <c r="V35" s="11"/>
      <c r="X35" s="381"/>
      <c r="Y35" s="257">
        <v>8</v>
      </c>
      <c r="Z35" s="138" t="str">
        <f t="shared" si="18"/>
        <v/>
      </c>
      <c r="AA35" s="299" t="str">
        <f t="shared" si="18"/>
        <v/>
      </c>
      <c r="AB35" s="299" t="str">
        <f t="shared" si="18"/>
        <v/>
      </c>
      <c r="AC35" s="299" t="str">
        <f t="shared" si="18"/>
        <v/>
      </c>
      <c r="AD35" s="299" t="str">
        <f t="shared" si="18"/>
        <v/>
      </c>
      <c r="AE35" s="299" t="str">
        <f t="shared" si="18"/>
        <v/>
      </c>
      <c r="AF35" s="299" t="str">
        <f t="shared" si="18"/>
        <v/>
      </c>
      <c r="AG35" s="299" t="str">
        <f t="shared" si="18"/>
        <v/>
      </c>
      <c r="AH35" s="301" t="str">
        <f t="shared" si="18"/>
        <v/>
      </c>
      <c r="AI35" s="262">
        <v>1</v>
      </c>
      <c r="AJ35" s="262">
        <v>5</v>
      </c>
      <c r="AK35" s="262">
        <v>4</v>
      </c>
      <c r="AL35" s="252">
        <v>5</v>
      </c>
      <c r="AM35" s="262">
        <v>9</v>
      </c>
      <c r="AN35" s="262">
        <v>6</v>
      </c>
      <c r="AO35" s="252">
        <v>3</v>
      </c>
      <c r="AP35" s="262">
        <v>7</v>
      </c>
      <c r="AQ35" s="253">
        <v>9</v>
      </c>
    </row>
    <row r="36" spans="3:43" ht="15" hidden="1" customHeight="1">
      <c r="C36" s="257" t="s">
        <v>466</v>
      </c>
      <c r="F36" s="311"/>
      <c r="G36" s="312"/>
      <c r="H36" s="312"/>
      <c r="I36" s="313"/>
      <c r="N36" s="252">
        <v>4</v>
      </c>
      <c r="O36" s="256" t="e">
        <f>IF(ISERROR(VLOOKUP(#REF!,$N$32:$N$40,1,FALSE)),#REF!,"")</f>
        <v>#REF!</v>
      </c>
      <c r="U36" s="11"/>
      <c r="V36" s="11"/>
      <c r="X36" s="382"/>
      <c r="Y36" s="257">
        <v>9</v>
      </c>
      <c r="Z36" s="300" t="str">
        <f t="shared" si="18"/>
        <v/>
      </c>
      <c r="AA36" s="302" t="str">
        <f t="shared" si="18"/>
        <v/>
      </c>
      <c r="AB36" s="302" t="str">
        <f t="shared" si="18"/>
        <v/>
      </c>
      <c r="AC36" s="302" t="str">
        <f t="shared" si="18"/>
        <v/>
      </c>
      <c r="AD36" s="302" t="str">
        <f t="shared" si="18"/>
        <v/>
      </c>
      <c r="AE36" s="302" t="str">
        <f t="shared" si="18"/>
        <v/>
      </c>
      <c r="AF36" s="302" t="str">
        <f t="shared" si="18"/>
        <v/>
      </c>
      <c r="AG36" s="302" t="str">
        <f t="shared" si="18"/>
        <v/>
      </c>
      <c r="AH36" s="303" t="str">
        <f t="shared" si="18"/>
        <v/>
      </c>
      <c r="AI36" s="26">
        <v>4</v>
      </c>
      <c r="AJ36" s="26">
        <v>8</v>
      </c>
      <c r="AK36" s="26">
        <v>2</v>
      </c>
      <c r="AL36" s="254">
        <v>8</v>
      </c>
      <c r="AM36" s="26">
        <v>2</v>
      </c>
      <c r="AN36" s="26">
        <v>3</v>
      </c>
      <c r="AO36" s="254">
        <v>9</v>
      </c>
      <c r="AP36" s="26">
        <v>1</v>
      </c>
      <c r="AQ36" s="255">
        <v>5</v>
      </c>
    </row>
    <row r="37" spans="3:43" ht="15" hidden="1" customHeight="1">
      <c r="C37" s="257" t="s">
        <v>467</v>
      </c>
      <c r="F37" s="311"/>
      <c r="G37" s="312"/>
      <c r="H37" s="312"/>
      <c r="I37" s="313"/>
      <c r="N37" s="252">
        <v>6</v>
      </c>
      <c r="O37" s="256" t="e">
        <f>IF(ISERROR(VLOOKUP(#REF!,$N$32:$N$40,1,FALSE)),#REF!,"")</f>
        <v>#REF!</v>
      </c>
      <c r="U37" s="11"/>
      <c r="V37" s="11"/>
      <c r="Z37" s="304" t="str">
        <f>_xlfn.TEXTJOIN(",",TRUE,Z$25:Z$36)</f>
        <v/>
      </c>
      <c r="AA37" s="304" t="str">
        <f>_xlfn.TEXTJOIN(",",TRUE,AA$25:AA$36)</f>
        <v/>
      </c>
      <c r="AB37" s="304" t="str">
        <f t="shared" ref="AB37:AH37" si="19">_xlfn.TEXTJOIN(",",TRUE,AB$25:AB$36)</f>
        <v/>
      </c>
      <c r="AC37" s="304" t="str">
        <f t="shared" si="19"/>
        <v/>
      </c>
      <c r="AD37" s="304" t="str">
        <f t="shared" si="19"/>
        <v/>
      </c>
      <c r="AE37" s="304" t="str">
        <f t="shared" si="19"/>
        <v/>
      </c>
      <c r="AF37" s="304" t="str">
        <f t="shared" si="19"/>
        <v/>
      </c>
      <c r="AG37" s="304" t="str">
        <f t="shared" si="19"/>
        <v/>
      </c>
      <c r="AH37" s="305" t="str">
        <f t="shared" si="19"/>
        <v/>
      </c>
      <c r="AI37" s="413" t="str">
        <f>"2-4"</f>
        <v>2-4</v>
      </c>
      <c r="AJ37" s="414"/>
      <c r="AK37" s="415"/>
      <c r="AL37" s="377" t="str">
        <f>"5-7"</f>
        <v>5-7</v>
      </c>
      <c r="AM37" s="378"/>
      <c r="AN37" s="379"/>
      <c r="AO37" s="377" t="str">
        <f>"8-10"</f>
        <v>8-10</v>
      </c>
      <c r="AP37" s="378"/>
      <c r="AQ37" s="379"/>
    </row>
    <row r="38" spans="3:43" ht="15" hidden="1" customHeight="1">
      <c r="C38" s="257" t="s">
        <v>468</v>
      </c>
      <c r="F38" s="311"/>
      <c r="G38" s="312"/>
      <c r="H38" s="312"/>
      <c r="I38" s="313"/>
      <c r="N38" s="252">
        <v>9</v>
      </c>
      <c r="O38" s="256" t="e">
        <f>IF(ISERROR(VLOOKUP(#REF!,$N$32:$N$40,1,FALSE)),#REF!,"")</f>
        <v>#REF!</v>
      </c>
      <c r="U38" s="11"/>
      <c r="V38" s="11"/>
    </row>
    <row r="39" spans="3:43" ht="15" hidden="1" customHeight="1">
      <c r="C39" s="257" t="s">
        <v>469</v>
      </c>
      <c r="F39" s="311"/>
      <c r="G39" s="312"/>
      <c r="H39" s="312"/>
      <c r="I39" s="313"/>
      <c r="N39" s="252"/>
      <c r="O39" s="256" t="e">
        <f>IF(ISERROR(VLOOKUP(#REF!,$N$32:$N$40,1,FALSE)),#REF!,"")</f>
        <v>#REF!</v>
      </c>
      <c r="U39" s="11"/>
      <c r="V39" s="11"/>
    </row>
    <row r="40" spans="3:43" ht="15" hidden="1" customHeight="1">
      <c r="C40" s="257" t="s">
        <v>470</v>
      </c>
      <c r="F40" s="311"/>
      <c r="G40" s="312"/>
      <c r="H40" s="312"/>
      <c r="I40" s="313"/>
      <c r="N40" s="254">
        <v>1</v>
      </c>
      <c r="O40" s="256" t="e">
        <f>IF(ISERROR(VLOOKUP(#REF!,$N$32:$N$40,1,FALSE)),#REF!,"")</f>
        <v>#REF!</v>
      </c>
      <c r="R40" s="183"/>
      <c r="U40" s="11"/>
      <c r="V40" s="11"/>
    </row>
    <row r="41" spans="3:43" ht="15" hidden="1" customHeight="1">
      <c r="C41" s="257" t="s">
        <v>471</v>
      </c>
      <c r="F41" s="311"/>
      <c r="G41" s="312"/>
      <c r="H41" s="312"/>
      <c r="I41" s="313"/>
      <c r="R41" s="183"/>
      <c r="U41" s="11"/>
      <c r="V41" s="11"/>
    </row>
    <row r="42" spans="3:43" ht="15" hidden="1" customHeight="1">
      <c r="C42" s="11" t="s">
        <v>472</v>
      </c>
      <c r="F42" s="311"/>
      <c r="G42" s="312"/>
      <c r="H42" s="312"/>
      <c r="I42" s="313"/>
      <c r="R42" s="183"/>
      <c r="U42" s="11"/>
      <c r="V42" s="11"/>
    </row>
    <row r="43" spans="3:43" ht="15" hidden="1" customHeight="1">
      <c r="C43" s="11" t="s">
        <v>473</v>
      </c>
      <c r="F43" s="311"/>
      <c r="G43" s="312"/>
      <c r="H43" s="312"/>
      <c r="I43" s="313"/>
      <c r="R43" s="183"/>
      <c r="U43" s="11"/>
      <c r="V43" s="11"/>
    </row>
    <row r="44" spans="3:43" ht="15" hidden="1" customHeight="1">
      <c r="C44" s="11" t="s">
        <v>474</v>
      </c>
      <c r="F44" s="311"/>
      <c r="G44" s="312"/>
      <c r="H44" s="312"/>
      <c r="I44" s="313"/>
      <c r="R44" s="183"/>
      <c r="U44" s="11"/>
      <c r="V44" s="11"/>
    </row>
    <row r="45" spans="3:43" ht="15" hidden="1" customHeight="1">
      <c r="C45" s="11" t="s">
        <v>479</v>
      </c>
      <c r="F45" s="311"/>
      <c r="G45" s="312"/>
      <c r="H45" s="312"/>
      <c r="I45" s="313"/>
      <c r="R45" s="183"/>
      <c r="U45" s="11"/>
      <c r="V45" s="11"/>
    </row>
    <row r="46" spans="3:43" ht="15" hidden="1" customHeight="1">
      <c r="C46" s="11" t="s">
        <v>484</v>
      </c>
      <c r="F46" s="311"/>
      <c r="G46" s="312"/>
      <c r="H46" s="312"/>
      <c r="I46" s="313"/>
      <c r="R46" s="183"/>
      <c r="U46" s="11"/>
      <c r="V46" s="11"/>
    </row>
    <row r="47" spans="3:43" hidden="1">
      <c r="F47" s="404" t="s">
        <v>332</v>
      </c>
      <c r="G47" s="405"/>
      <c r="H47" s="405"/>
      <c r="I47" s="406"/>
      <c r="R47" s="183"/>
      <c r="U47" s="11"/>
      <c r="V47" s="11"/>
    </row>
    <row r="48" spans="3:43" ht="15" hidden="1" customHeight="1">
      <c r="C48" s="11" t="s">
        <v>485</v>
      </c>
      <c r="F48" s="311"/>
      <c r="G48" s="312"/>
      <c r="H48" s="312"/>
      <c r="I48" s="313"/>
      <c r="R48" s="183"/>
      <c r="U48" s="11"/>
      <c r="V48" s="11"/>
    </row>
    <row r="49" spans="3:22" ht="15" hidden="1" customHeight="1">
      <c r="C49" s="11" t="s">
        <v>486</v>
      </c>
      <c r="F49" s="311"/>
      <c r="G49" s="312"/>
      <c r="H49" s="312"/>
      <c r="I49" s="313"/>
      <c r="U49" s="11"/>
      <c r="V49" s="11"/>
    </row>
    <row r="50" spans="3:22" ht="15" hidden="1" customHeight="1">
      <c r="C50" s="257" t="s">
        <v>487</v>
      </c>
      <c r="F50" s="311"/>
      <c r="G50" s="312"/>
      <c r="H50" s="312"/>
      <c r="I50" s="313"/>
      <c r="U50" s="11"/>
      <c r="V50" s="11"/>
    </row>
    <row r="51" spans="3:22" ht="15" hidden="1" customHeight="1">
      <c r="C51" s="257" t="s">
        <v>488</v>
      </c>
      <c r="F51" s="311"/>
      <c r="G51" s="312"/>
      <c r="H51" s="312"/>
      <c r="I51" s="313"/>
      <c r="U51" s="11"/>
      <c r="V51" s="11"/>
    </row>
    <row r="52" spans="3:22" ht="15" hidden="1" customHeight="1">
      <c r="C52" s="257" t="s">
        <v>491</v>
      </c>
      <c r="F52" s="311"/>
      <c r="G52" s="312"/>
      <c r="H52" s="312"/>
      <c r="I52" s="313"/>
      <c r="U52" s="11"/>
      <c r="V52" s="11"/>
    </row>
    <row r="53" spans="3:22" ht="15" hidden="1" customHeight="1">
      <c r="C53" s="257" t="s">
        <v>492</v>
      </c>
      <c r="F53" s="311"/>
      <c r="G53" s="312"/>
      <c r="H53" s="312"/>
      <c r="I53" s="313"/>
      <c r="U53" s="11"/>
      <c r="V53" s="11"/>
    </row>
    <row r="54" spans="3:22" ht="15" hidden="1" customHeight="1">
      <c r="C54" s="257" t="s">
        <v>495</v>
      </c>
      <c r="F54" s="311"/>
      <c r="G54" s="312"/>
      <c r="H54" s="312"/>
      <c r="I54" s="313"/>
      <c r="U54" s="11"/>
      <c r="V54" s="11"/>
    </row>
    <row r="55" spans="3:22" ht="15" hidden="1" customHeight="1">
      <c r="C55" s="11" t="s">
        <v>496</v>
      </c>
      <c r="F55" s="311"/>
      <c r="G55" s="312"/>
      <c r="H55" s="312"/>
      <c r="I55" s="313"/>
      <c r="U55" s="11"/>
      <c r="V55" s="11"/>
    </row>
    <row r="56" spans="3:22" ht="15" hidden="1" customHeight="1">
      <c r="C56" s="11" t="s">
        <v>498</v>
      </c>
      <c r="F56" s="311"/>
      <c r="G56" s="312"/>
      <c r="H56" s="312"/>
      <c r="I56" s="313"/>
      <c r="U56" s="11"/>
      <c r="V56" s="11"/>
    </row>
    <row r="57" spans="3:22" ht="15" hidden="1" customHeight="1">
      <c r="C57" s="257" t="s">
        <v>499</v>
      </c>
      <c r="F57" s="311"/>
      <c r="G57" s="312"/>
      <c r="H57" s="312"/>
      <c r="I57" s="313"/>
      <c r="U57" s="11"/>
      <c r="V57" s="11"/>
    </row>
    <row r="58" spans="3:22" ht="15" hidden="1" customHeight="1">
      <c r="C58" s="257" t="s">
        <v>500</v>
      </c>
      <c r="F58" s="311"/>
      <c r="G58" s="312"/>
      <c r="H58" s="312"/>
      <c r="I58" s="313"/>
      <c r="U58" s="11"/>
      <c r="V58" s="11"/>
    </row>
    <row r="59" spans="3:22" ht="15" hidden="1" customHeight="1">
      <c r="C59" s="257" t="s">
        <v>501</v>
      </c>
      <c r="F59" s="311"/>
      <c r="G59" s="312"/>
      <c r="H59" s="312"/>
      <c r="I59" s="313"/>
      <c r="U59" s="11"/>
      <c r="V59" s="11"/>
    </row>
    <row r="60" spans="3:22" ht="15" hidden="1" customHeight="1">
      <c r="C60" s="257" t="s">
        <v>502</v>
      </c>
      <c r="F60" s="311"/>
      <c r="G60" s="312"/>
      <c r="H60" s="312"/>
      <c r="I60" s="313"/>
      <c r="U60" s="11"/>
      <c r="V60" s="11"/>
    </row>
    <row r="61" spans="3:22" ht="15" hidden="1" customHeight="1">
      <c r="C61" s="257" t="s">
        <v>505</v>
      </c>
      <c r="F61" s="311"/>
      <c r="G61" s="312"/>
      <c r="H61" s="312"/>
      <c r="I61" s="313"/>
      <c r="U61" s="11"/>
      <c r="V61" s="11"/>
    </row>
    <row r="62" spans="3:22" ht="15" hidden="1" customHeight="1">
      <c r="F62" s="311"/>
      <c r="G62" s="312"/>
      <c r="H62" s="312"/>
      <c r="I62" s="313"/>
      <c r="U62" s="11"/>
      <c r="V62" s="11"/>
    </row>
    <row r="63" spans="3:22" ht="15" hidden="1" customHeight="1">
      <c r="C63" s="257" t="s">
        <v>506</v>
      </c>
      <c r="F63" s="311"/>
      <c r="G63" s="312"/>
      <c r="H63" s="312"/>
      <c r="I63" s="313"/>
      <c r="U63" s="11"/>
      <c r="V63" s="11"/>
    </row>
    <row r="64" spans="3:22" ht="15" hidden="1" customHeight="1">
      <c r="C64" s="11" t="s">
        <v>509</v>
      </c>
      <c r="F64" s="311"/>
      <c r="G64" s="312"/>
      <c r="H64" s="312"/>
      <c r="I64" s="313"/>
      <c r="U64" s="11"/>
      <c r="V64" s="11"/>
    </row>
    <row r="65" spans="3:22" ht="15" hidden="1" customHeight="1">
      <c r="C65" s="257" t="s">
        <v>510</v>
      </c>
      <c r="F65" s="311"/>
      <c r="G65" s="312"/>
      <c r="H65" s="312"/>
      <c r="I65" s="313"/>
      <c r="U65" s="11"/>
      <c r="V65" s="11"/>
    </row>
    <row r="66" spans="3:22" ht="15" hidden="1" customHeight="1">
      <c r="C66" s="284" t="s">
        <v>511</v>
      </c>
      <c r="F66" s="311"/>
      <c r="G66" s="312"/>
      <c r="H66" s="312"/>
      <c r="I66" s="313"/>
      <c r="U66" s="11"/>
      <c r="V66" s="11"/>
    </row>
    <row r="67" spans="3:22" ht="15" hidden="1" customHeight="1">
      <c r="C67" s="284" t="s">
        <v>512</v>
      </c>
      <c r="F67" s="311"/>
      <c r="G67" s="312"/>
      <c r="H67" s="312"/>
      <c r="I67" s="313"/>
      <c r="U67" s="11"/>
      <c r="V67" s="11"/>
    </row>
    <row r="68" spans="3:22" ht="15" hidden="1" customHeight="1">
      <c r="C68" s="284" t="s">
        <v>513</v>
      </c>
      <c r="F68" s="311"/>
      <c r="G68" s="312"/>
      <c r="H68" s="312"/>
      <c r="I68" s="313"/>
      <c r="U68" s="11"/>
      <c r="V68" s="11"/>
    </row>
    <row r="69" spans="3:22" ht="15" hidden="1" customHeight="1">
      <c r="C69" s="284" t="s">
        <v>514</v>
      </c>
      <c r="F69" s="311"/>
      <c r="G69" s="312"/>
      <c r="H69" s="312"/>
      <c r="I69" s="313"/>
      <c r="U69" s="11"/>
      <c r="V69" s="11"/>
    </row>
    <row r="70" spans="3:22" ht="15" hidden="1" customHeight="1">
      <c r="F70" s="311"/>
      <c r="G70" s="312"/>
      <c r="H70" s="312"/>
      <c r="I70" s="313"/>
      <c r="U70" s="11"/>
      <c r="V70" s="11"/>
    </row>
    <row r="71" spans="3:22" ht="15" hidden="1" customHeight="1">
      <c r="C71" s="284" t="s">
        <v>515</v>
      </c>
      <c r="F71" s="311"/>
      <c r="G71" s="312"/>
      <c r="H71" s="312"/>
      <c r="I71" s="313"/>
      <c r="U71" s="11"/>
      <c r="V71" s="11"/>
    </row>
    <row r="72" spans="3:22" ht="15" hidden="1" customHeight="1">
      <c r="C72" s="284" t="s">
        <v>516</v>
      </c>
      <c r="F72" s="311"/>
      <c r="G72" s="312"/>
      <c r="H72" s="312"/>
      <c r="I72" s="313"/>
      <c r="U72" s="11"/>
      <c r="V72" s="11"/>
    </row>
    <row r="73" spans="3:22" ht="15" hidden="1" customHeight="1">
      <c r="C73" s="284" t="s">
        <v>517</v>
      </c>
      <c r="F73" s="311"/>
      <c r="G73" s="312"/>
      <c r="H73" s="312"/>
      <c r="I73" s="313"/>
      <c r="U73" s="11"/>
      <c r="V73" s="11"/>
    </row>
    <row r="74" spans="3:22" ht="15" hidden="1" customHeight="1">
      <c r="C74" s="284" t="s">
        <v>518</v>
      </c>
      <c r="F74" s="311"/>
      <c r="G74" s="312"/>
      <c r="H74" s="312"/>
      <c r="I74" s="313"/>
      <c r="U74" s="11"/>
      <c r="V74" s="11"/>
    </row>
    <row r="75" spans="3:22" ht="15" hidden="1" customHeight="1">
      <c r="C75" s="284" t="s">
        <v>520</v>
      </c>
      <c r="F75" s="311"/>
      <c r="G75" s="312"/>
      <c r="H75" s="312"/>
      <c r="I75" s="313"/>
      <c r="U75" s="11"/>
      <c r="V75" s="11"/>
    </row>
    <row r="76" spans="3:22" ht="15" hidden="1" customHeight="1">
      <c r="C76" s="284" t="s">
        <v>521</v>
      </c>
      <c r="F76" s="311"/>
      <c r="G76" s="312"/>
      <c r="H76" s="312"/>
      <c r="I76" s="313"/>
      <c r="U76" s="11"/>
      <c r="V76" s="11"/>
    </row>
    <row r="77" spans="3:22" ht="15" hidden="1" customHeight="1">
      <c r="C77" s="284" t="s">
        <v>522</v>
      </c>
      <c r="F77" s="311"/>
      <c r="G77" s="312"/>
      <c r="H77" s="312"/>
      <c r="I77" s="313"/>
      <c r="U77" s="11"/>
      <c r="V77" s="11"/>
    </row>
    <row r="78" spans="3:22" ht="15" hidden="1" customHeight="1">
      <c r="C78" s="284" t="s">
        <v>523</v>
      </c>
      <c r="F78" s="311"/>
      <c r="G78" s="312"/>
      <c r="H78" s="312"/>
      <c r="I78" s="313"/>
      <c r="U78" s="11"/>
      <c r="V78" s="11"/>
    </row>
    <row r="79" spans="3:22" ht="15" hidden="1" customHeight="1">
      <c r="C79" s="284" t="s">
        <v>524</v>
      </c>
      <c r="F79" s="311"/>
      <c r="G79" s="312"/>
      <c r="H79" s="312"/>
      <c r="I79" s="313"/>
      <c r="U79" s="11"/>
      <c r="V79" s="11"/>
    </row>
    <row r="80" spans="3:22" ht="15" hidden="1" customHeight="1">
      <c r="C80" s="284" t="s">
        <v>525</v>
      </c>
      <c r="F80" s="311"/>
      <c r="G80" s="312"/>
      <c r="H80" s="312"/>
      <c r="I80" s="313"/>
      <c r="U80" s="11"/>
      <c r="V80" s="11"/>
    </row>
    <row r="81" spans="3:22" hidden="1">
      <c r="F81" s="407" t="s">
        <v>330</v>
      </c>
      <c r="G81" s="408"/>
      <c r="H81" s="408"/>
      <c r="I81" s="409"/>
      <c r="U81" s="11"/>
      <c r="V81" s="11"/>
    </row>
    <row r="82" spans="3:22" ht="15" hidden="1" customHeight="1">
      <c r="C82" s="11" t="s">
        <v>526</v>
      </c>
      <c r="F82" s="311"/>
      <c r="G82" s="312"/>
      <c r="H82" s="312"/>
      <c r="I82" s="313"/>
      <c r="U82" s="11"/>
      <c r="V82" s="11"/>
    </row>
    <row r="83" spans="3:22" ht="15" hidden="1" customHeight="1">
      <c r="C83" s="11" t="s">
        <v>527</v>
      </c>
      <c r="F83" s="311"/>
      <c r="G83" s="312"/>
      <c r="H83" s="312"/>
      <c r="I83" s="313"/>
      <c r="U83" s="11"/>
      <c r="V83" s="11"/>
    </row>
    <row r="84" spans="3:22" ht="15" hidden="1" customHeight="1">
      <c r="C84" s="257" t="s">
        <v>528</v>
      </c>
      <c r="F84" s="311"/>
      <c r="G84" s="312"/>
      <c r="H84" s="312"/>
      <c r="I84" s="313"/>
      <c r="U84" s="11"/>
      <c r="V84" s="11"/>
    </row>
    <row r="85" spans="3:22" ht="15" hidden="1" customHeight="1">
      <c r="C85" s="257" t="s">
        <v>529</v>
      </c>
      <c r="F85" s="311"/>
      <c r="G85" s="312"/>
      <c r="H85" s="312"/>
      <c r="I85" s="313"/>
      <c r="U85" s="11"/>
      <c r="V85" s="11"/>
    </row>
    <row r="86" spans="3:22" ht="15" hidden="1" customHeight="1">
      <c r="C86" s="257" t="s">
        <v>531</v>
      </c>
      <c r="F86" s="311"/>
      <c r="G86" s="312"/>
      <c r="H86" s="312"/>
      <c r="I86" s="313"/>
      <c r="U86" s="11"/>
      <c r="V86" s="11"/>
    </row>
    <row r="87" spans="3:22" ht="15" hidden="1" customHeight="1">
      <c r="C87" s="257" t="s">
        <v>532</v>
      </c>
      <c r="F87" s="311"/>
      <c r="G87" s="312"/>
      <c r="H87" s="312"/>
      <c r="I87" s="313"/>
      <c r="U87" s="11"/>
      <c r="V87" s="11"/>
    </row>
    <row r="88" spans="3:22" ht="15" hidden="1" customHeight="1">
      <c r="C88" s="257" t="s">
        <v>533</v>
      </c>
      <c r="F88" s="311"/>
      <c r="G88" s="312"/>
      <c r="H88" s="312"/>
      <c r="I88" s="313"/>
      <c r="U88" s="11"/>
      <c r="V88" s="11"/>
    </row>
    <row r="89" spans="3:22" ht="15" hidden="1" customHeight="1">
      <c r="C89" s="257" t="s">
        <v>547</v>
      </c>
      <c r="F89" s="311"/>
      <c r="G89" s="312"/>
      <c r="H89" s="312"/>
      <c r="I89" s="313"/>
      <c r="U89" s="11"/>
      <c r="V89" s="11"/>
    </row>
    <row r="90" spans="3:22" ht="15" hidden="1" customHeight="1">
      <c r="C90" s="257" t="s">
        <v>548</v>
      </c>
      <c r="F90" s="311"/>
      <c r="G90" s="312"/>
      <c r="H90" s="312"/>
      <c r="I90" s="313"/>
      <c r="U90" s="11"/>
      <c r="V90" s="11"/>
    </row>
    <row r="91" spans="3:22" ht="15" hidden="1" customHeight="1">
      <c r="C91" s="257" t="s">
        <v>549</v>
      </c>
      <c r="F91" s="311"/>
      <c r="G91" s="312"/>
      <c r="H91" s="312"/>
      <c r="I91" s="313"/>
      <c r="U91" s="11"/>
      <c r="V91" s="11"/>
    </row>
    <row r="92" spans="3:22" ht="15" hidden="1" customHeight="1">
      <c r="F92" s="311"/>
      <c r="G92" s="312"/>
      <c r="H92" s="312"/>
      <c r="I92" s="313"/>
      <c r="U92" s="11"/>
      <c r="V92" s="11"/>
    </row>
    <row r="93" spans="3:22" ht="15" hidden="1" customHeight="1">
      <c r="C93" s="11" t="s">
        <v>552</v>
      </c>
      <c r="F93" s="311"/>
      <c r="G93" s="312"/>
      <c r="H93" s="312"/>
      <c r="I93" s="313"/>
      <c r="U93" s="11"/>
      <c r="V93" s="11"/>
    </row>
    <row r="94" spans="3:22" ht="15" hidden="1" customHeight="1">
      <c r="C94" s="11" t="s">
        <v>553</v>
      </c>
      <c r="F94" s="311"/>
      <c r="G94" s="312"/>
      <c r="H94" s="312"/>
      <c r="I94" s="313"/>
      <c r="U94" s="11"/>
      <c r="V94" s="11"/>
    </row>
    <row r="95" spans="3:22" ht="15" hidden="1" customHeight="1">
      <c r="C95" s="284" t="s">
        <v>554</v>
      </c>
      <c r="F95" s="311"/>
      <c r="G95" s="312"/>
      <c r="H95" s="312"/>
      <c r="I95" s="313"/>
      <c r="U95" s="11"/>
      <c r="V95" s="11"/>
    </row>
    <row r="96" spans="3:22" ht="15" hidden="1" customHeight="1">
      <c r="C96" s="11" t="s">
        <v>555</v>
      </c>
      <c r="F96" s="311"/>
      <c r="G96" s="312"/>
      <c r="H96" s="312"/>
      <c r="I96" s="313"/>
      <c r="U96" s="11"/>
      <c r="V96" s="11"/>
    </row>
    <row r="97" spans="3:22" ht="15" hidden="1" customHeight="1">
      <c r="C97" s="11" t="s">
        <v>556</v>
      </c>
      <c r="F97" s="311"/>
      <c r="G97" s="312"/>
      <c r="H97" s="312"/>
      <c r="I97" s="313"/>
      <c r="U97" s="11"/>
      <c r="V97" s="11"/>
    </row>
    <row r="98" spans="3:22" ht="15" hidden="1" customHeight="1">
      <c r="C98" s="11" t="s">
        <v>557</v>
      </c>
      <c r="F98" s="311"/>
      <c r="G98" s="312"/>
      <c r="H98" s="312"/>
      <c r="I98" s="313"/>
      <c r="U98" s="11"/>
      <c r="V98" s="11"/>
    </row>
    <row r="99" spans="3:22" ht="15" hidden="1" customHeight="1">
      <c r="C99" s="11" t="s">
        <v>558</v>
      </c>
      <c r="F99" s="311"/>
      <c r="G99" s="312"/>
      <c r="H99" s="312"/>
      <c r="I99" s="313"/>
      <c r="U99" s="11"/>
      <c r="V99" s="11"/>
    </row>
    <row r="100" spans="3:22" ht="15" hidden="1" customHeight="1">
      <c r="C100" s="11" t="s">
        <v>559</v>
      </c>
      <c r="F100" s="311"/>
      <c r="G100" s="312"/>
      <c r="H100" s="312"/>
      <c r="I100" s="313"/>
      <c r="U100" s="11"/>
      <c r="V100" s="11"/>
    </row>
    <row r="101" spans="3:22" ht="15" hidden="1" customHeight="1">
      <c r="C101" s="11" t="s">
        <v>560</v>
      </c>
      <c r="F101" s="311"/>
      <c r="G101" s="312"/>
      <c r="H101" s="312"/>
      <c r="I101" s="313"/>
      <c r="U101" s="11"/>
      <c r="V101" s="11"/>
    </row>
    <row r="102" spans="3:22" ht="15" hidden="1" customHeight="1">
      <c r="C102" s="11" t="s">
        <v>561</v>
      </c>
      <c r="F102" s="311"/>
      <c r="G102" s="312"/>
      <c r="H102" s="312"/>
      <c r="I102" s="313"/>
      <c r="U102" s="11"/>
      <c r="V102" s="11"/>
    </row>
    <row r="103" spans="3:22" ht="15" hidden="1" customHeight="1">
      <c r="C103" s="11" t="s">
        <v>562</v>
      </c>
      <c r="F103" s="311"/>
      <c r="G103" s="312"/>
      <c r="H103" s="312"/>
      <c r="I103" s="313"/>
      <c r="U103" s="11"/>
      <c r="V103" s="11"/>
    </row>
    <row r="104" spans="3:22" ht="15" hidden="1" customHeight="1">
      <c r="C104" s="11" t="s">
        <v>563</v>
      </c>
      <c r="F104" s="311"/>
      <c r="G104" s="312"/>
      <c r="H104" s="312"/>
      <c r="I104" s="313"/>
      <c r="U104" s="11"/>
      <c r="V104" s="11"/>
    </row>
    <row r="105" spans="3:22" ht="15" hidden="1" customHeight="1">
      <c r="C105" s="284" t="s">
        <v>564</v>
      </c>
      <c r="F105" s="311"/>
      <c r="G105" s="312"/>
      <c r="H105" s="312"/>
      <c r="I105" s="313"/>
      <c r="U105" s="11"/>
      <c r="V105" s="11"/>
    </row>
    <row r="106" spans="3:22" ht="15" hidden="1" customHeight="1">
      <c r="C106" s="11" t="s">
        <v>565</v>
      </c>
      <c r="F106" s="311"/>
      <c r="G106" s="312"/>
      <c r="H106" s="312"/>
      <c r="I106" s="313"/>
      <c r="U106" s="11"/>
      <c r="V106" s="11"/>
    </row>
    <row r="107" spans="3:22" ht="15" hidden="1" customHeight="1">
      <c r="F107" s="311"/>
      <c r="G107" s="312"/>
      <c r="H107" s="312"/>
      <c r="I107" s="313"/>
      <c r="U107" s="11"/>
      <c r="V107" s="11"/>
    </row>
    <row r="108" spans="3:22" ht="15" hidden="1" customHeight="1">
      <c r="C108" s="11" t="s">
        <v>566</v>
      </c>
      <c r="F108" s="311"/>
      <c r="G108" s="312"/>
      <c r="H108" s="312"/>
      <c r="I108" s="313"/>
      <c r="U108" s="11"/>
      <c r="V108" s="11"/>
    </row>
    <row r="109" spans="3:22" ht="15" hidden="1" customHeight="1">
      <c r="C109" s="11" t="s">
        <v>567</v>
      </c>
      <c r="F109" s="311"/>
      <c r="G109" s="312"/>
      <c r="H109" s="312"/>
      <c r="I109" s="313"/>
      <c r="U109" s="11"/>
      <c r="V109" s="11"/>
    </row>
    <row r="110" spans="3:22" ht="15" hidden="1" customHeight="1">
      <c r="C110" s="11" t="s">
        <v>568</v>
      </c>
      <c r="F110" s="311"/>
      <c r="G110" s="312"/>
      <c r="H110" s="312"/>
      <c r="I110" s="313"/>
      <c r="U110" s="11"/>
      <c r="V110" s="11"/>
    </row>
    <row r="111" spans="3:22" ht="15" hidden="1" customHeight="1">
      <c r="C111" s="11" t="s">
        <v>569</v>
      </c>
      <c r="F111" s="311"/>
      <c r="G111" s="312"/>
      <c r="H111" s="312"/>
      <c r="I111" s="313"/>
      <c r="U111" s="11"/>
      <c r="V111" s="11"/>
    </row>
    <row r="112" spans="3:22" ht="15" hidden="1" customHeight="1">
      <c r="C112" s="11" t="s">
        <v>570</v>
      </c>
      <c r="F112" s="311"/>
      <c r="G112" s="312"/>
      <c r="H112" s="312"/>
      <c r="I112" s="313"/>
      <c r="U112" s="11"/>
      <c r="V112" s="11"/>
    </row>
    <row r="113" spans="3:22" ht="15" hidden="1" customHeight="1">
      <c r="C113" s="11" t="s">
        <v>571</v>
      </c>
      <c r="F113" s="311"/>
      <c r="G113" s="312"/>
      <c r="H113" s="312"/>
      <c r="I113" s="313"/>
      <c r="U113" s="11"/>
      <c r="V113" s="11"/>
    </row>
    <row r="114" spans="3:22" ht="15" hidden="1" customHeight="1">
      <c r="C114" s="11" t="s">
        <v>572</v>
      </c>
      <c r="F114" s="311"/>
      <c r="G114" s="312"/>
      <c r="H114" s="312"/>
      <c r="I114" s="313"/>
      <c r="U114" s="11"/>
      <c r="V114" s="11"/>
    </row>
    <row r="115" spans="3:22" ht="15" hidden="1" customHeight="1">
      <c r="C115" s="284" t="s">
        <v>573</v>
      </c>
      <c r="F115" s="311"/>
      <c r="G115" s="312"/>
      <c r="H115" s="312"/>
      <c r="I115" s="313"/>
      <c r="U115" s="11"/>
      <c r="V115" s="11"/>
    </row>
    <row r="116" spans="3:22" ht="15" hidden="1" customHeight="1">
      <c r="C116" s="11" t="s">
        <v>574</v>
      </c>
      <c r="F116" s="311"/>
      <c r="G116" s="312"/>
      <c r="H116" s="312"/>
      <c r="I116" s="313"/>
      <c r="U116" s="11"/>
      <c r="V116" s="11"/>
    </row>
    <row r="117" spans="3:22" ht="15" hidden="1" customHeight="1">
      <c r="F117" s="311"/>
      <c r="G117" s="312"/>
      <c r="H117" s="312"/>
      <c r="I117" s="313"/>
      <c r="U117" s="11"/>
      <c r="V117" s="11"/>
    </row>
    <row r="118" spans="3:22" ht="15" hidden="1" customHeight="1">
      <c r="C118" s="11" t="s">
        <v>576</v>
      </c>
      <c r="F118" s="311"/>
      <c r="G118" s="312"/>
      <c r="H118" s="312"/>
      <c r="I118" s="313"/>
      <c r="U118" s="11"/>
      <c r="V118" s="11"/>
    </row>
    <row r="119" spans="3:22" ht="15" hidden="1" customHeight="1">
      <c r="C119" s="11" t="s">
        <v>577</v>
      </c>
      <c r="F119" s="311"/>
      <c r="G119" s="312"/>
      <c r="H119" s="312"/>
      <c r="I119" s="313"/>
      <c r="U119" s="11"/>
      <c r="V119" s="11"/>
    </row>
    <row r="120" spans="3:22" ht="15" hidden="1" customHeight="1">
      <c r="C120" s="11" t="s">
        <v>578</v>
      </c>
      <c r="F120" s="311"/>
      <c r="G120" s="312"/>
      <c r="H120" s="312"/>
      <c r="I120" s="313"/>
      <c r="U120" s="11"/>
      <c r="V120" s="11"/>
    </row>
    <row r="121" spans="3:22" ht="15" hidden="1" customHeight="1">
      <c r="C121" s="11" t="s">
        <v>581</v>
      </c>
      <c r="F121" s="311"/>
      <c r="G121" s="312"/>
      <c r="H121" s="312"/>
      <c r="I121" s="313"/>
      <c r="U121" s="11"/>
      <c r="V121" s="11"/>
    </row>
    <row r="122" spans="3:22" ht="15" hidden="1" customHeight="1">
      <c r="C122" s="284" t="s">
        <v>582</v>
      </c>
      <c r="F122" s="311"/>
      <c r="G122" s="312"/>
      <c r="H122" s="312"/>
      <c r="I122" s="313"/>
      <c r="U122" s="11"/>
      <c r="V122" s="11"/>
    </row>
    <row r="123" spans="3:22" ht="15" hidden="1" customHeight="1">
      <c r="C123" s="11" t="s">
        <v>583</v>
      </c>
      <c r="F123" s="311"/>
      <c r="G123" s="312"/>
      <c r="H123" s="312"/>
      <c r="I123" s="313"/>
      <c r="U123" s="11"/>
      <c r="V123" s="11"/>
    </row>
    <row r="124" spans="3:22" ht="15" hidden="1" customHeight="1">
      <c r="C124" s="11" t="s">
        <v>584</v>
      </c>
      <c r="F124" s="311"/>
      <c r="G124" s="312"/>
      <c r="H124" s="312"/>
      <c r="I124" s="313"/>
      <c r="U124" s="11"/>
      <c r="V124" s="11"/>
    </row>
    <row r="125" spans="3:22" ht="15" hidden="1" customHeight="1">
      <c r="C125" s="11" t="s">
        <v>585</v>
      </c>
      <c r="F125" s="311"/>
      <c r="G125" s="312"/>
      <c r="H125" s="312"/>
      <c r="I125" s="313"/>
      <c r="U125" s="11"/>
      <c r="V125" s="11"/>
    </row>
    <row r="126" spans="3:22" ht="15" hidden="1" customHeight="1">
      <c r="C126" s="11" t="s">
        <v>590</v>
      </c>
      <c r="F126" s="311"/>
      <c r="G126" s="312"/>
      <c r="H126" s="312"/>
      <c r="I126" s="313"/>
      <c r="U126" s="11"/>
      <c r="V126" s="11"/>
    </row>
    <row r="127" spans="3:22" ht="15" hidden="1" customHeight="1">
      <c r="C127" s="11" t="s">
        <v>591</v>
      </c>
      <c r="F127" s="311"/>
      <c r="G127" s="312"/>
      <c r="H127" s="312"/>
      <c r="I127" s="313"/>
      <c r="U127" s="11"/>
      <c r="V127" s="11"/>
    </row>
    <row r="128" spans="3:22" ht="15" hidden="1" customHeight="1">
      <c r="F128" s="311"/>
      <c r="G128" s="312"/>
      <c r="H128" s="312"/>
      <c r="I128" s="313"/>
      <c r="U128" s="11"/>
      <c r="V128" s="11"/>
    </row>
    <row r="129" spans="2:22" ht="15" hidden="1" customHeight="1">
      <c r="C129" s="11" t="s">
        <v>592</v>
      </c>
      <c r="F129" s="311"/>
      <c r="G129" s="312"/>
      <c r="H129" s="312"/>
      <c r="I129" s="313"/>
      <c r="U129" s="11"/>
      <c r="V129" s="11"/>
    </row>
    <row r="130" spans="2:22" ht="15" hidden="1" customHeight="1">
      <c r="C130" s="11" t="s">
        <v>593</v>
      </c>
      <c r="F130" s="311"/>
      <c r="G130" s="312"/>
      <c r="H130" s="312"/>
      <c r="I130" s="313"/>
      <c r="U130" s="11"/>
      <c r="V130" s="11"/>
    </row>
    <row r="131" spans="2:22" ht="15" hidden="1" customHeight="1">
      <c r="C131" s="11" t="s">
        <v>594</v>
      </c>
      <c r="F131" s="311"/>
      <c r="G131" s="312"/>
      <c r="H131" s="312"/>
      <c r="I131" s="313"/>
      <c r="U131" s="11"/>
      <c r="V131" s="11"/>
    </row>
    <row r="132" spans="2:22" ht="15" hidden="1" customHeight="1">
      <c r="C132" s="11" t="s">
        <v>529</v>
      </c>
      <c r="F132" s="311"/>
      <c r="G132" s="312"/>
      <c r="H132" s="312"/>
      <c r="I132" s="313"/>
      <c r="U132" s="11"/>
      <c r="V132" s="11"/>
    </row>
    <row r="133" spans="2:22" ht="15" hidden="1" customHeight="1">
      <c r="C133" s="11" t="s">
        <v>595</v>
      </c>
      <c r="F133" s="311"/>
      <c r="G133" s="312"/>
      <c r="H133" s="312"/>
      <c r="I133" s="313"/>
      <c r="U133" s="11"/>
      <c r="V133" s="11"/>
    </row>
    <row r="134" spans="2:22" ht="15" hidden="1" customHeight="1">
      <c r="C134" s="11" t="s">
        <v>596</v>
      </c>
      <c r="F134" s="311"/>
      <c r="G134" s="312"/>
      <c r="H134" s="312"/>
      <c r="I134" s="313"/>
      <c r="U134" s="11"/>
      <c r="V134" s="11"/>
    </row>
    <row r="135" spans="2:22" ht="15" hidden="1" customHeight="1">
      <c r="C135" s="308" t="s">
        <v>597</v>
      </c>
      <c r="F135" s="311"/>
      <c r="G135" s="312"/>
      <c r="H135" s="312"/>
      <c r="I135" s="313"/>
      <c r="U135" s="11"/>
      <c r="V135" s="11"/>
    </row>
    <row r="136" spans="2:22" ht="15" hidden="1" customHeight="1">
      <c r="C136" s="11" t="s">
        <v>598</v>
      </c>
      <c r="F136" s="311"/>
      <c r="G136" s="312"/>
      <c r="H136" s="312"/>
      <c r="I136" s="313"/>
      <c r="U136" s="11"/>
      <c r="V136" s="11"/>
    </row>
    <row r="137" spans="2:22" hidden="1">
      <c r="F137" s="410" t="s">
        <v>298</v>
      </c>
      <c r="G137" s="411"/>
      <c r="H137" s="411"/>
      <c r="I137" s="412"/>
      <c r="U137" s="11"/>
      <c r="V137" s="11"/>
    </row>
    <row r="138" spans="2:22" hidden="1"/>
    <row r="139" spans="2:22" hidden="1">
      <c r="B139" s="11" t="s">
        <v>605</v>
      </c>
    </row>
    <row r="140" spans="2:22" hidden="1">
      <c r="B140" s="11" t="s">
        <v>606</v>
      </c>
    </row>
    <row r="141" spans="2:22" hidden="1">
      <c r="B141" s="11" t="s">
        <v>607</v>
      </c>
    </row>
    <row r="142" spans="2:22" hidden="1">
      <c r="B142" s="11" t="s">
        <v>608</v>
      </c>
    </row>
    <row r="143" spans="2:22" hidden="1">
      <c r="B143" s="11" t="s">
        <v>609</v>
      </c>
    </row>
    <row r="144" spans="2:22" hidden="1">
      <c r="B144" s="11" t="s">
        <v>610</v>
      </c>
    </row>
    <row r="145" spans="2:2" hidden="1">
      <c r="B145" s="11" t="s">
        <v>611</v>
      </c>
    </row>
    <row r="146" spans="2:2" hidden="1">
      <c r="B146" s="11" t="s">
        <v>612</v>
      </c>
    </row>
    <row r="147" spans="2:2" hidden="1">
      <c r="B147" s="11" t="s">
        <v>613</v>
      </c>
    </row>
    <row r="148" spans="2:2" hidden="1">
      <c r="B148" s="11" t="s">
        <v>614</v>
      </c>
    </row>
    <row r="149" spans="2:2" hidden="1">
      <c r="B149" s="11" t="s">
        <v>615</v>
      </c>
    </row>
    <row r="150" spans="2:2" hidden="1">
      <c r="B150" s="11" t="s">
        <v>618</v>
      </c>
    </row>
    <row r="151" spans="2:2" hidden="1"/>
    <row r="152" spans="2:2" hidden="1">
      <c r="B152" s="11" t="s">
        <v>619</v>
      </c>
    </row>
    <row r="153" spans="2:2" hidden="1">
      <c r="B153" s="11" t="s">
        <v>620</v>
      </c>
    </row>
    <row r="154" spans="2:2" hidden="1">
      <c r="B154" s="11" t="s">
        <v>621</v>
      </c>
    </row>
    <row r="155" spans="2:2" hidden="1">
      <c r="B155" s="11" t="s">
        <v>622</v>
      </c>
    </row>
    <row r="156" spans="2:2" hidden="1">
      <c r="B156" s="11" t="s">
        <v>623</v>
      </c>
    </row>
    <row r="157" spans="2:2" hidden="1">
      <c r="B157" s="11" t="s">
        <v>624</v>
      </c>
    </row>
    <row r="158" spans="2:2" hidden="1">
      <c r="B158" s="11" t="s">
        <v>625</v>
      </c>
    </row>
    <row r="159" spans="2:2" hidden="1">
      <c r="B159" s="11" t="s">
        <v>626</v>
      </c>
    </row>
    <row r="160" spans="2:2" hidden="1">
      <c r="B160" s="11" t="s">
        <v>627</v>
      </c>
    </row>
    <row r="161" spans="2:2" hidden="1">
      <c r="B161" s="11" t="s">
        <v>628</v>
      </c>
    </row>
    <row r="162" spans="2:2" hidden="1">
      <c r="B162" s="11" t="s">
        <v>629</v>
      </c>
    </row>
    <row r="163" spans="2:2" hidden="1">
      <c r="B163" s="11" t="s">
        <v>632</v>
      </c>
    </row>
    <row r="164" spans="2:2" hidden="1">
      <c r="B164" s="11" t="s">
        <v>633</v>
      </c>
    </row>
    <row r="165" spans="2:2" hidden="1"/>
    <row r="166" spans="2:2" hidden="1">
      <c r="B166" s="11" t="s">
        <v>634</v>
      </c>
    </row>
    <row r="167" spans="2:2" hidden="1">
      <c r="B167" s="11" t="s">
        <v>635</v>
      </c>
    </row>
    <row r="168" spans="2:2" hidden="1">
      <c r="B168" s="11" t="s">
        <v>636</v>
      </c>
    </row>
    <row r="169" spans="2:2" hidden="1">
      <c r="B169" s="11" t="s">
        <v>637</v>
      </c>
    </row>
    <row r="170" spans="2:2" hidden="1">
      <c r="B170" s="11" t="s">
        <v>638</v>
      </c>
    </row>
    <row r="171" spans="2:2" hidden="1">
      <c r="B171" s="11" t="s">
        <v>641</v>
      </c>
    </row>
    <row r="172" spans="2:2" hidden="1">
      <c r="B172" s="11" t="s">
        <v>646</v>
      </c>
    </row>
    <row r="173" spans="2:2" hidden="1">
      <c r="B173" s="11" t="s">
        <v>647</v>
      </c>
    </row>
    <row r="174" spans="2:2" hidden="1"/>
    <row r="175" spans="2:2" hidden="1">
      <c r="B175" s="11" t="s">
        <v>648</v>
      </c>
    </row>
    <row r="176" spans="2:2" hidden="1">
      <c r="B176" s="11" t="s">
        <v>649</v>
      </c>
    </row>
    <row r="177" spans="2:2" hidden="1">
      <c r="B177" s="11" t="s">
        <v>650</v>
      </c>
    </row>
    <row r="178" spans="2:2" hidden="1">
      <c r="B178" s="11" t="s">
        <v>651</v>
      </c>
    </row>
    <row r="179" spans="2:2" hidden="1">
      <c r="B179" s="11" t="s">
        <v>652</v>
      </c>
    </row>
    <row r="180" spans="2:2" hidden="1">
      <c r="B180" s="11" t="s">
        <v>653</v>
      </c>
    </row>
    <row r="181" spans="2:2" hidden="1">
      <c r="B181" s="11" t="s">
        <v>654</v>
      </c>
    </row>
    <row r="182" spans="2:2" hidden="1">
      <c r="B182" s="11" t="s">
        <v>656</v>
      </c>
    </row>
    <row r="183" spans="2:2" hidden="1">
      <c r="B183" s="11" t="s">
        <v>657</v>
      </c>
    </row>
    <row r="184" spans="2:2" hidden="1">
      <c r="B184" s="11" t="s">
        <v>658</v>
      </c>
    </row>
    <row r="185" spans="2:2" hidden="1">
      <c r="B185" s="11" t="s">
        <v>659</v>
      </c>
    </row>
    <row r="186" spans="2:2" hidden="1">
      <c r="B186" s="11" t="s">
        <v>660</v>
      </c>
    </row>
    <row r="187" spans="2:2" hidden="1">
      <c r="B187" s="11" t="s">
        <v>661</v>
      </c>
    </row>
    <row r="188" spans="2:2" hidden="1">
      <c r="B188" s="11" t="s">
        <v>662</v>
      </c>
    </row>
    <row r="189" spans="2:2" hidden="1"/>
    <row r="190" spans="2:2" hidden="1">
      <c r="B190" s="11" t="s">
        <v>672</v>
      </c>
    </row>
    <row r="191" spans="2:2" hidden="1">
      <c r="B191" s="11" t="s">
        <v>673</v>
      </c>
    </row>
    <row r="192" spans="2:2" hidden="1">
      <c r="B192" s="11" t="s">
        <v>680</v>
      </c>
    </row>
    <row r="193" spans="2:2" hidden="1">
      <c r="B193" s="11" t="s">
        <v>681</v>
      </c>
    </row>
    <row r="194" spans="2:2" hidden="1">
      <c r="B194" s="11" t="s">
        <v>682</v>
      </c>
    </row>
    <row r="195" spans="2:2" hidden="1">
      <c r="B195" s="11" t="s">
        <v>683</v>
      </c>
    </row>
    <row r="196" spans="2:2" hidden="1">
      <c r="B196" s="11" t="s">
        <v>684</v>
      </c>
    </row>
    <row r="197" spans="2:2" hidden="1">
      <c r="B197" s="11" t="s">
        <v>685</v>
      </c>
    </row>
    <row r="198" spans="2:2" hidden="1">
      <c r="B198" s="11" t="s">
        <v>686</v>
      </c>
    </row>
    <row r="199" spans="2:2" hidden="1">
      <c r="B199" s="11" t="s">
        <v>687</v>
      </c>
    </row>
    <row r="200" spans="2:2" hidden="1">
      <c r="B200" s="11" t="s">
        <v>688</v>
      </c>
    </row>
    <row r="201" spans="2:2" hidden="1">
      <c r="B201" s="11" t="s">
        <v>689</v>
      </c>
    </row>
    <row r="202" spans="2:2" hidden="1">
      <c r="B202" s="11" t="s">
        <v>690</v>
      </c>
    </row>
    <row r="203" spans="2:2" hidden="1"/>
    <row r="204" spans="2:2" hidden="1">
      <c r="B204" s="11" t="s">
        <v>695</v>
      </c>
    </row>
    <row r="205" spans="2:2" hidden="1">
      <c r="B205" s="11" t="s">
        <v>699</v>
      </c>
    </row>
    <row r="206" spans="2:2" hidden="1">
      <c r="B206" s="11" t="s">
        <v>700</v>
      </c>
    </row>
    <row r="207" spans="2:2" hidden="1">
      <c r="B207" s="11" t="s">
        <v>701</v>
      </c>
    </row>
    <row r="208" spans="2:2" hidden="1">
      <c r="B208" s="11" t="s">
        <v>702</v>
      </c>
    </row>
    <row r="209" spans="2:2" hidden="1">
      <c r="B209" s="11" t="s">
        <v>703</v>
      </c>
    </row>
    <row r="210" spans="2:2" hidden="1">
      <c r="B210" s="11" t="s">
        <v>704</v>
      </c>
    </row>
    <row r="211" spans="2:2" hidden="1">
      <c r="B211" s="11" t="s">
        <v>707</v>
      </c>
    </row>
    <row r="212" spans="2:2" hidden="1"/>
    <row r="213" spans="2:2" hidden="1">
      <c r="B213" s="11" t="s">
        <v>708</v>
      </c>
    </row>
    <row r="214" spans="2:2" hidden="1">
      <c r="B214" s="11" t="s">
        <v>709</v>
      </c>
    </row>
    <row r="215" spans="2:2" hidden="1">
      <c r="B215" s="11" t="s">
        <v>712</v>
      </c>
    </row>
    <row r="216" spans="2:2" hidden="1"/>
    <row r="217" spans="2:2" hidden="1">
      <c r="B217" s="11" t="s">
        <v>713</v>
      </c>
    </row>
    <row r="218" spans="2:2" hidden="1">
      <c r="B218" s="11" t="s">
        <v>714</v>
      </c>
    </row>
    <row r="219" spans="2:2" hidden="1">
      <c r="B219" s="11" t="s">
        <v>716</v>
      </c>
    </row>
    <row r="220" spans="2:2" hidden="1">
      <c r="B220" s="11" t="s">
        <v>715</v>
      </c>
    </row>
    <row r="221" spans="2:2" hidden="1">
      <c r="B221" s="11" t="s">
        <v>717</v>
      </c>
    </row>
    <row r="222" spans="2:2" hidden="1">
      <c r="B222" s="11" t="s">
        <v>718</v>
      </c>
    </row>
    <row r="223" spans="2:2" hidden="1">
      <c r="B223" s="11" t="s">
        <v>719</v>
      </c>
    </row>
    <row r="224" spans="2:2" hidden="1">
      <c r="B224" s="11" t="s">
        <v>720</v>
      </c>
    </row>
    <row r="225" spans="2:2" hidden="1">
      <c r="B225" s="11" t="s">
        <v>721</v>
      </c>
    </row>
    <row r="226" spans="2:2" hidden="1">
      <c r="B226" s="11" t="s">
        <v>723</v>
      </c>
    </row>
    <row r="227" spans="2:2" hidden="1">
      <c r="B227" s="11" t="s">
        <v>724</v>
      </c>
    </row>
    <row r="228" spans="2:2" hidden="1">
      <c r="B228" s="284" t="s">
        <v>725</v>
      </c>
    </row>
    <row r="229" spans="2:2" hidden="1">
      <c r="B229" s="11" t="s">
        <v>726</v>
      </c>
    </row>
    <row r="230" spans="2:2" hidden="1"/>
    <row r="231" spans="2:2" hidden="1">
      <c r="B231" s="11" t="s">
        <v>727</v>
      </c>
    </row>
    <row r="232" spans="2:2" hidden="1">
      <c r="B232" s="11" t="s">
        <v>728</v>
      </c>
    </row>
    <row r="233" spans="2:2" hidden="1">
      <c r="B233" s="11" t="s">
        <v>729</v>
      </c>
    </row>
    <row r="234" spans="2:2" hidden="1">
      <c r="B234" s="11" t="s">
        <v>730</v>
      </c>
    </row>
    <row r="235" spans="2:2" hidden="1">
      <c r="B235" s="11" t="s">
        <v>732</v>
      </c>
    </row>
    <row r="236" spans="2:2" hidden="1">
      <c r="B236" s="11" t="s">
        <v>733</v>
      </c>
    </row>
    <row r="237" spans="2:2" hidden="1"/>
    <row r="238" spans="2:2" hidden="1"/>
    <row r="239" spans="2:2" hidden="1">
      <c r="B239" s="11" t="s">
        <v>663</v>
      </c>
    </row>
    <row r="240" spans="2:2" hidden="1"/>
    <row r="241" spans="2:2" hidden="1"/>
    <row r="242" spans="2:2" hidden="1">
      <c r="B242" s="11" t="s">
        <v>734</v>
      </c>
    </row>
    <row r="243" spans="2:2" hidden="1">
      <c r="B243" s="11" t="s">
        <v>735</v>
      </c>
    </row>
    <row r="244" spans="2:2" hidden="1">
      <c r="B244" s="11" t="s">
        <v>737</v>
      </c>
    </row>
    <row r="245" spans="2:2" hidden="1">
      <c r="B245" s="284" t="s">
        <v>738</v>
      </c>
    </row>
    <row r="246" spans="2:2" hidden="1">
      <c r="B246" s="11" t="s">
        <v>739</v>
      </c>
    </row>
    <row r="247" spans="2:2" hidden="1">
      <c r="B247" s="11" t="s">
        <v>740</v>
      </c>
    </row>
    <row r="248" spans="2:2" hidden="1">
      <c r="B248" s="284" t="s">
        <v>741</v>
      </c>
    </row>
    <row r="249" spans="2:2" hidden="1">
      <c r="B249" s="11" t="s">
        <v>742</v>
      </c>
    </row>
    <row r="250" spans="2:2" hidden="1"/>
    <row r="251" spans="2:2" hidden="1">
      <c r="B251" s="11" t="s">
        <v>743</v>
      </c>
    </row>
    <row r="252" spans="2:2" hidden="1">
      <c r="B252" s="11" t="s">
        <v>744</v>
      </c>
    </row>
    <row r="253" spans="2:2" hidden="1">
      <c r="B253" s="11" t="s">
        <v>746</v>
      </c>
    </row>
    <row r="254" spans="2:2" hidden="1">
      <c r="B254" s="11" t="s">
        <v>748</v>
      </c>
    </row>
    <row r="255" spans="2:2" hidden="1">
      <c r="B255" s="11" t="s">
        <v>749</v>
      </c>
    </row>
    <row r="256" spans="2:2" hidden="1">
      <c r="B256" s="11" t="s">
        <v>750</v>
      </c>
    </row>
    <row r="257" spans="2:2" hidden="1">
      <c r="B257" s="11" t="s">
        <v>751</v>
      </c>
    </row>
    <row r="258" spans="2:2" hidden="1">
      <c r="B258" s="11" t="s">
        <v>752</v>
      </c>
    </row>
    <row r="259" spans="2:2" hidden="1">
      <c r="B259" s="11" t="s">
        <v>753</v>
      </c>
    </row>
    <row r="260" spans="2:2" hidden="1">
      <c r="B260" s="11" t="s">
        <v>754</v>
      </c>
    </row>
    <row r="261" spans="2:2" hidden="1">
      <c r="B261" s="11" t="s">
        <v>755</v>
      </c>
    </row>
    <row r="262" spans="2:2" hidden="1">
      <c r="B262" s="11" t="s">
        <v>756</v>
      </c>
    </row>
    <row r="263" spans="2:2" hidden="1"/>
    <row r="264" spans="2:2" hidden="1">
      <c r="B264" s="11" t="s">
        <v>760</v>
      </c>
    </row>
    <row r="265" spans="2:2" hidden="1">
      <c r="B265" s="11" t="s">
        <v>761</v>
      </c>
    </row>
    <row r="266" spans="2:2" hidden="1">
      <c r="B266" s="11" t="s">
        <v>762</v>
      </c>
    </row>
    <row r="267" spans="2:2" hidden="1">
      <c r="B267" s="11" t="s">
        <v>763</v>
      </c>
    </row>
    <row r="268" spans="2:2" hidden="1">
      <c r="B268" s="11" t="s">
        <v>764</v>
      </c>
    </row>
    <row r="269" spans="2:2" hidden="1">
      <c r="B269" s="11" t="s">
        <v>765</v>
      </c>
    </row>
    <row r="270" spans="2:2" hidden="1">
      <c r="B270" s="11" t="s">
        <v>766</v>
      </c>
    </row>
    <row r="271" spans="2:2" hidden="1">
      <c r="B271" s="11" t="s">
        <v>767</v>
      </c>
    </row>
    <row r="272" spans="2:2" hidden="1">
      <c r="B272" s="11" t="s">
        <v>768</v>
      </c>
    </row>
    <row r="273" spans="2:2" hidden="1">
      <c r="B273" s="11" t="s">
        <v>769</v>
      </c>
    </row>
    <row r="274" spans="2:2" hidden="1">
      <c r="B274" s="11" t="s">
        <v>770</v>
      </c>
    </row>
    <row r="275" spans="2:2" hidden="1">
      <c r="B275" s="11" t="s">
        <v>771</v>
      </c>
    </row>
    <row r="276" spans="2:2" hidden="1">
      <c r="B276" s="11" t="s">
        <v>772</v>
      </c>
    </row>
    <row r="277" spans="2:2" hidden="1">
      <c r="B277" s="11" t="s">
        <v>773</v>
      </c>
    </row>
    <row r="278" spans="2:2" hidden="1">
      <c r="B278" s="11" t="s">
        <v>774</v>
      </c>
    </row>
    <row r="279" spans="2:2" hidden="1">
      <c r="B279" s="284" t="s">
        <v>775</v>
      </c>
    </row>
    <row r="280" spans="2:2" hidden="1">
      <c r="B280" s="11" t="s">
        <v>776</v>
      </c>
    </row>
    <row r="281" spans="2:2" hidden="1">
      <c r="B281" s="11" t="s">
        <v>777</v>
      </c>
    </row>
    <row r="282" spans="2:2" hidden="1">
      <c r="B282" s="11" t="s">
        <v>778</v>
      </c>
    </row>
    <row r="283" spans="2:2" hidden="1">
      <c r="B283" s="11" t="s">
        <v>779</v>
      </c>
    </row>
    <row r="284" spans="2:2" hidden="1">
      <c r="B284" s="11" t="s">
        <v>780</v>
      </c>
    </row>
    <row r="285" spans="2:2" hidden="1"/>
    <row r="286" spans="2:2" hidden="1"/>
    <row r="287" spans="2:2" hidden="1">
      <c r="B287" s="11" t="s">
        <v>664</v>
      </c>
    </row>
    <row r="288" spans="2:2" hidden="1">
      <c r="B288" s="284" t="s">
        <v>667</v>
      </c>
    </row>
    <row r="289" spans="2:2" hidden="1">
      <c r="B289" s="11" t="s">
        <v>668</v>
      </c>
    </row>
    <row r="290" spans="2:2" hidden="1">
      <c r="B290" s="11" t="s">
        <v>669</v>
      </c>
    </row>
    <row r="291" spans="2:2" hidden="1">
      <c r="B291" s="11" t="s">
        <v>670</v>
      </c>
    </row>
    <row r="292" spans="2:2" hidden="1">
      <c r="B292" s="11" t="s">
        <v>671</v>
      </c>
    </row>
    <row r="293" spans="2:2" hidden="1"/>
    <row r="294" spans="2:2" hidden="1">
      <c r="B294" s="11" t="s">
        <v>783</v>
      </c>
    </row>
    <row r="295" spans="2:2" hidden="1">
      <c r="B295" s="284" t="s">
        <v>784</v>
      </c>
    </row>
    <row r="296" spans="2:2" hidden="1">
      <c r="B296" s="11" t="s">
        <v>785</v>
      </c>
    </row>
    <row r="297" spans="2:2" hidden="1">
      <c r="B297" s="11" t="s">
        <v>786</v>
      </c>
    </row>
    <row r="298" spans="2:2" hidden="1">
      <c r="B298" s="11" t="s">
        <v>787</v>
      </c>
    </row>
    <row r="299" spans="2:2" hidden="1">
      <c r="B299" s="11" t="s">
        <v>788</v>
      </c>
    </row>
    <row r="300" spans="2:2" hidden="1">
      <c r="B300" s="11" t="s">
        <v>789</v>
      </c>
    </row>
    <row r="301" spans="2:2" hidden="1">
      <c r="B301" s="11" t="s">
        <v>790</v>
      </c>
    </row>
    <row r="302" spans="2:2" hidden="1">
      <c r="B302" s="11" t="s">
        <v>795</v>
      </c>
    </row>
    <row r="303" spans="2:2" hidden="1">
      <c r="B303" s="11" t="s">
        <v>796</v>
      </c>
    </row>
    <row r="304" spans="2:2" hidden="1">
      <c r="B304" s="11" t="s">
        <v>797</v>
      </c>
    </row>
    <row r="305" spans="2:2" hidden="1">
      <c r="B305" s="11" t="s">
        <v>798</v>
      </c>
    </row>
    <row r="306" spans="2:2" hidden="1">
      <c r="B306" s="11" t="s">
        <v>799</v>
      </c>
    </row>
    <row r="307" spans="2:2" hidden="1">
      <c r="B307" s="11" t="s">
        <v>800</v>
      </c>
    </row>
    <row r="308" spans="2:2" hidden="1">
      <c r="B308" s="284" t="s">
        <v>801</v>
      </c>
    </row>
    <row r="309" spans="2:2" hidden="1">
      <c r="B309" s="11" t="s">
        <v>802</v>
      </c>
    </row>
    <row r="310" spans="2:2" hidden="1"/>
    <row r="311" spans="2:2" hidden="1">
      <c r="B311" s="11" t="s">
        <v>803</v>
      </c>
    </row>
    <row r="312" spans="2:2" hidden="1">
      <c r="B312" s="11" t="s">
        <v>804</v>
      </c>
    </row>
    <row r="313" spans="2:2" hidden="1">
      <c r="B313" s="11" t="s">
        <v>805</v>
      </c>
    </row>
    <row r="314" spans="2:2" hidden="1">
      <c r="B314" s="11" t="s">
        <v>806</v>
      </c>
    </row>
    <row r="315" spans="2:2" hidden="1">
      <c r="B315" s="11" t="s">
        <v>807</v>
      </c>
    </row>
    <row r="316" spans="2:2" hidden="1">
      <c r="B316" s="11" t="s">
        <v>808</v>
      </c>
    </row>
    <row r="317" spans="2:2" hidden="1">
      <c r="B317" s="11" t="s">
        <v>809</v>
      </c>
    </row>
    <row r="318" spans="2:2" hidden="1">
      <c r="B318" s="11" t="s">
        <v>810</v>
      </c>
    </row>
    <row r="319" spans="2:2" hidden="1">
      <c r="B319" s="11" t="s">
        <v>811</v>
      </c>
    </row>
    <row r="320" spans="2:2" hidden="1"/>
    <row r="321" spans="2:2" hidden="1">
      <c r="B321" s="11" t="s">
        <v>812</v>
      </c>
    </row>
    <row r="322" spans="2:2" hidden="1">
      <c r="B322" s="11" t="s">
        <v>813</v>
      </c>
    </row>
    <row r="323" spans="2:2" hidden="1">
      <c r="B323" s="11" t="s">
        <v>814</v>
      </c>
    </row>
    <row r="324" spans="2:2" hidden="1">
      <c r="B324" s="11" t="s">
        <v>815</v>
      </c>
    </row>
    <row r="325" spans="2:2" hidden="1">
      <c r="B325" s="11" t="s">
        <v>816</v>
      </c>
    </row>
    <row r="326" spans="2:2" hidden="1">
      <c r="B326" s="11" t="s">
        <v>817</v>
      </c>
    </row>
    <row r="327" spans="2:2" hidden="1">
      <c r="B327" s="11" t="s">
        <v>818</v>
      </c>
    </row>
    <row r="328" spans="2:2" hidden="1">
      <c r="B328" s="11" t="s">
        <v>819</v>
      </c>
    </row>
    <row r="329" spans="2:2" hidden="1">
      <c r="B329" s="11" t="s">
        <v>820</v>
      </c>
    </row>
    <row r="330" spans="2:2" hidden="1">
      <c r="B330" s="11" t="s">
        <v>821</v>
      </c>
    </row>
    <row r="331" spans="2:2" hidden="1">
      <c r="B331" s="11" t="s">
        <v>822</v>
      </c>
    </row>
    <row r="332" spans="2:2" hidden="1">
      <c r="B332" s="284" t="s">
        <v>823</v>
      </c>
    </row>
    <row r="333" spans="2:2" hidden="1">
      <c r="B333" s="11" t="s">
        <v>824</v>
      </c>
    </row>
    <row r="334" spans="2:2" hidden="1">
      <c r="B334" s="11" t="s">
        <v>825</v>
      </c>
    </row>
    <row r="335" spans="2:2" hidden="1">
      <c r="B335" s="11" t="s">
        <v>826</v>
      </c>
    </row>
    <row r="336" spans="2:2" hidden="1">
      <c r="B336" s="11" t="s">
        <v>827</v>
      </c>
    </row>
    <row r="337" spans="2:12" hidden="1">
      <c r="B337" s="11" t="s">
        <v>828</v>
      </c>
    </row>
    <row r="338" spans="2:12" hidden="1">
      <c r="B338" s="11" t="s">
        <v>829</v>
      </c>
    </row>
    <row r="339" spans="2:12" hidden="1">
      <c r="B339" s="11" t="s">
        <v>830</v>
      </c>
    </row>
    <row r="340" spans="2:12" hidden="1">
      <c r="B340" s="11" t="s">
        <v>831</v>
      </c>
    </row>
    <row r="341" spans="2:12" hidden="1">
      <c r="B341" s="11" t="s">
        <v>832</v>
      </c>
    </row>
    <row r="342" spans="2:12" hidden="1">
      <c r="B342" s="11" t="s">
        <v>833</v>
      </c>
    </row>
    <row r="343" spans="2:12" hidden="1">
      <c r="B343" s="11" t="s">
        <v>834</v>
      </c>
    </row>
    <row r="344" spans="2:12" hidden="1">
      <c r="B344" s="11" t="s">
        <v>835</v>
      </c>
    </row>
    <row r="345" spans="2:12" hidden="1">
      <c r="B345" s="11" t="s">
        <v>837</v>
      </c>
    </row>
    <row r="346" spans="2:12" hidden="1">
      <c r="B346" s="11" t="s">
        <v>838</v>
      </c>
    </row>
    <row r="347" spans="2:12" hidden="1">
      <c r="B347" s="11" t="s">
        <v>839</v>
      </c>
    </row>
    <row r="348" spans="2:12" hidden="1">
      <c r="B348" s="11" t="s">
        <v>840</v>
      </c>
    </row>
    <row r="349" spans="2:12" hidden="1">
      <c r="B349" s="11" t="s">
        <v>841</v>
      </c>
    </row>
    <row r="350" spans="2:12" hidden="1">
      <c r="B350" s="11" t="s">
        <v>842</v>
      </c>
      <c r="I350" s="11" t="s">
        <v>849</v>
      </c>
      <c r="J350" s="11" t="s">
        <v>850</v>
      </c>
      <c r="K350" s="11" t="s">
        <v>851</v>
      </c>
      <c r="L350" s="11" t="s">
        <v>852</v>
      </c>
    </row>
    <row r="351" spans="2:12" hidden="1">
      <c r="B351" s="11" t="s">
        <v>843</v>
      </c>
    </row>
    <row r="352" spans="2:12" hidden="1">
      <c r="B352" s="11" t="s">
        <v>844</v>
      </c>
    </row>
    <row r="353" spans="2:2" hidden="1"/>
    <row r="354" spans="2:2" hidden="1">
      <c r="B354" s="11" t="s">
        <v>848</v>
      </c>
    </row>
    <row r="355" spans="2:2" hidden="1">
      <c r="B355" s="11" t="s">
        <v>854</v>
      </c>
    </row>
    <row r="356" spans="2:2" hidden="1">
      <c r="B356" s="11" t="s">
        <v>855</v>
      </c>
    </row>
    <row r="357" spans="2:2" hidden="1">
      <c r="B357" s="11" t="s">
        <v>856</v>
      </c>
    </row>
    <row r="358" spans="2:2" hidden="1">
      <c r="B358" s="11" t="s">
        <v>859</v>
      </c>
    </row>
    <row r="359" spans="2:2" hidden="1">
      <c r="B359" s="11" t="s">
        <v>860</v>
      </c>
    </row>
    <row r="360" spans="2:2" hidden="1">
      <c r="B360" s="11" t="s">
        <v>861</v>
      </c>
    </row>
    <row r="361" spans="2:2" hidden="1">
      <c r="B361" s="11" t="s">
        <v>862</v>
      </c>
    </row>
    <row r="362" spans="2:2" hidden="1">
      <c r="B362" s="11" t="s">
        <v>863</v>
      </c>
    </row>
    <row r="363" spans="2:2" hidden="1">
      <c r="B363" s="11" t="s">
        <v>864</v>
      </c>
    </row>
    <row r="364" spans="2:2" hidden="1"/>
    <row r="365" spans="2:2" hidden="1">
      <c r="B365" s="11" t="s">
        <v>865</v>
      </c>
    </row>
    <row r="366" spans="2:2" hidden="1">
      <c r="B366" s="11" t="s">
        <v>866</v>
      </c>
    </row>
    <row r="367" spans="2:2" hidden="1">
      <c r="B367" s="11" t="s">
        <v>867</v>
      </c>
    </row>
    <row r="368" spans="2:2" hidden="1">
      <c r="B368" s="11" t="s">
        <v>868</v>
      </c>
    </row>
    <row r="369" spans="2:2" hidden="1">
      <c r="B369" s="11" t="s">
        <v>869</v>
      </c>
    </row>
    <row r="370" spans="2:2" hidden="1">
      <c r="B370" s="11" t="s">
        <v>870</v>
      </c>
    </row>
    <row r="371" spans="2:2" hidden="1">
      <c r="B371" s="11" t="s">
        <v>871</v>
      </c>
    </row>
    <row r="372" spans="2:2" hidden="1">
      <c r="B372" s="11" t="s">
        <v>872</v>
      </c>
    </row>
    <row r="373" spans="2:2" hidden="1">
      <c r="B373" s="11" t="s">
        <v>873</v>
      </c>
    </row>
    <row r="374" spans="2:2" hidden="1">
      <c r="B374" s="11" t="s">
        <v>874</v>
      </c>
    </row>
    <row r="375" spans="2:2" hidden="1">
      <c r="B375" s="11" t="s">
        <v>875</v>
      </c>
    </row>
    <row r="376" spans="2:2" hidden="1">
      <c r="B376" s="11" t="s">
        <v>878</v>
      </c>
    </row>
    <row r="377" spans="2:2" hidden="1">
      <c r="B377" s="11" t="s">
        <v>879</v>
      </c>
    </row>
    <row r="378" spans="2:2" hidden="1">
      <c r="B378" s="11" t="s">
        <v>885</v>
      </c>
    </row>
    <row r="379" spans="2:2" hidden="1">
      <c r="B379" s="11" t="s">
        <v>887</v>
      </c>
    </row>
    <row r="380" spans="2:2" hidden="1">
      <c r="B380" s="11" t="s">
        <v>888</v>
      </c>
    </row>
    <row r="381" spans="2:2" hidden="1">
      <c r="B381" s="11" t="s">
        <v>890</v>
      </c>
    </row>
    <row r="382" spans="2:2" hidden="1">
      <c r="B382" s="11" t="s">
        <v>891</v>
      </c>
    </row>
    <row r="383" spans="2:2" hidden="1">
      <c r="B383" s="11" t="s">
        <v>652</v>
      </c>
    </row>
    <row r="384" spans="2:2" hidden="1">
      <c r="B384" s="11" t="s">
        <v>653</v>
      </c>
    </row>
    <row r="385" spans="2:2" hidden="1">
      <c r="B385" s="11" t="s">
        <v>892</v>
      </c>
    </row>
    <row r="386" spans="2:2" hidden="1">
      <c r="B386" s="11" t="s">
        <v>893</v>
      </c>
    </row>
    <row r="387" spans="2:2" hidden="1">
      <c r="B387" s="11" t="s">
        <v>906</v>
      </c>
    </row>
    <row r="388" spans="2:2" hidden="1">
      <c r="B388" s="11" t="s">
        <v>907</v>
      </c>
    </row>
    <row r="389" spans="2:2" hidden="1">
      <c r="B389" s="11" t="s">
        <v>908</v>
      </c>
    </row>
    <row r="390" spans="2:2" hidden="1">
      <c r="B390" s="11" t="s">
        <v>909</v>
      </c>
    </row>
    <row r="391" spans="2:2" hidden="1">
      <c r="B391" s="11" t="s">
        <v>826</v>
      </c>
    </row>
    <row r="392" spans="2:2" hidden="1">
      <c r="B392" s="11" t="s">
        <v>910</v>
      </c>
    </row>
    <row r="393" spans="2:2" hidden="1">
      <c r="B393" s="11" t="s">
        <v>911</v>
      </c>
    </row>
    <row r="394" spans="2:2" hidden="1">
      <c r="B394" s="11" t="s">
        <v>912</v>
      </c>
    </row>
    <row r="395" spans="2:2" hidden="1">
      <c r="B395" s="11" t="s">
        <v>918</v>
      </c>
    </row>
    <row r="701" spans="2:2">
      <c r="B701" s="11" t="s">
        <v>853</v>
      </c>
    </row>
    <row r="705" spans="2:2">
      <c r="B705" s="11" t="s">
        <v>889</v>
      </c>
    </row>
  </sheetData>
  <sheetProtection formatCells="0"/>
  <mergeCells count="21">
    <mergeCell ref="AV2:AY2"/>
    <mergeCell ref="AV3:AY5"/>
    <mergeCell ref="F47:I47"/>
    <mergeCell ref="F81:I81"/>
    <mergeCell ref="F137:I137"/>
    <mergeCell ref="AI37:AK37"/>
    <mergeCell ref="AL37:AN37"/>
    <mergeCell ref="AO37:AQ37"/>
    <mergeCell ref="A2:A4"/>
    <mergeCell ref="A5:A7"/>
    <mergeCell ref="A8:A10"/>
    <mergeCell ref="AI12:AQ12"/>
    <mergeCell ref="B22:D22"/>
    <mergeCell ref="X2:X10"/>
    <mergeCell ref="X13:X21"/>
    <mergeCell ref="Z24:AH24"/>
    <mergeCell ref="B23:D23"/>
    <mergeCell ref="B24:D24"/>
    <mergeCell ref="X25:X36"/>
    <mergeCell ref="B25:D25"/>
    <mergeCell ref="B21:D21"/>
  </mergeCells>
  <phoneticPr fontId="24" type="noConversion"/>
  <conditionalFormatting sqref="A5:B5 S5 B3:B4 P2:P10 Q2:R8 B6:B10 L5:O10 B13:E14 B11:E11 G14:I14 B32:K40 T3:W10 AG12:AG16 L2:P4 AR12:XFD12 C34:C44 C50:C54 L14 Y13:Y22 X25:X28 Z24 AI36:XFD36 AL37 AO37 AR37:XFD37 AR23:XFD23 AQ24:XFD35 Y25:AQ36 B15:L15 L16:L18 R41:R48 A1:XFD1 G11:XFD11 B12:AI12 P32:R40 B19:I19 K19:L19 B16:D18 H16:H18 F13:XFD13 A2:B2 B43:H46 P22:R22 B144:H152 B48:H51 B47:E47 B81:E81 B137:E137 I142:I157 N32:N40 B31:L31 N23:R31 B41:L42 J43:L51 N41:Q53 B52:L80 B82:L136 J81:L81 J137:L137 N14:W20 O21:R21 O234:XFD285 E21:E30 W21 N54:R136 W22:AH22 W37:AI37 W38:XFD136 W23:W36 Y14:AR21 AR22 AW14:XFD22 S19:V137 J20:L30 AS11:AW26 B21:B25 E29:J29 J144:L152 B138:L143 N137:XFD233 B153:L293 T2:AV2 Y6:XFD10 Y3:AR5 AT4:AU5 AS4 C355:XFD576 C294:L354 N286:XFD354 B577:XFD1048576 AT3:AV3 AZ2:XFD5">
    <cfRule type="cellIs" dxfId="263" priority="40322" operator="equal">
      <formula>"YES"</formula>
    </cfRule>
  </conditionalFormatting>
  <conditionalFormatting sqref="S5 J24:J29 Q2:R8 R25:R33 T2:V20 Q41:Q49 R41:R44 Q39:R40 B2:B10 S11:S20 W15:W32 B13:E14 B11:E11 G11:R11 B12:R12 G14:I14 F13:R13 L2:P10 C34:C44 C50:C54 C57:C61 C65 L14 C63 B15:L15 L16:L18 B19:I19 K19:L19 B16:D18 H16:H18 C84:C91 C106 N14:R17 N23:R28 P18:R22 C135 N29:N41 B189:B203 N18:O20 O21 E21:E29 S19:V137 J20:L28 B21:B24 E29:J29">
    <cfRule type="cellIs" dxfId="262" priority="40321" operator="equal">
      <formula>"Y"</formula>
    </cfRule>
  </conditionalFormatting>
  <conditionalFormatting sqref="E19:G19">
    <cfRule type="cellIs" dxfId="261" priority="40320" operator="equal">
      <formula>"✓"</formula>
    </cfRule>
  </conditionalFormatting>
  <conditionalFormatting sqref="B25">
    <cfRule type="cellIs" dxfId="260" priority="40319" operator="equal">
      <formula>"YES"</formula>
    </cfRule>
  </conditionalFormatting>
  <conditionalFormatting sqref="B25">
    <cfRule type="cellIs" dxfId="259" priority="40318" operator="equal">
      <formula>"Y"</formula>
    </cfRule>
  </conditionalFormatting>
  <conditionalFormatting sqref="R9:R10">
    <cfRule type="cellIs" dxfId="258" priority="40305" operator="equal">
      <formula>"YES"</formula>
    </cfRule>
  </conditionalFormatting>
  <conditionalFormatting sqref="R9:R10">
    <cfRule type="cellIs" dxfId="257" priority="40304" operator="equal">
      <formula>"Y"</formula>
    </cfRule>
  </conditionalFormatting>
  <conditionalFormatting sqref="Q9:Q10">
    <cfRule type="cellIs" dxfId="256" priority="40303" operator="equal">
      <formula>"YES"</formula>
    </cfRule>
  </conditionalFormatting>
  <conditionalFormatting sqref="Q9:Q10">
    <cfRule type="cellIs" dxfId="255" priority="40302" operator="equal">
      <formula>"Y"</formula>
    </cfRule>
  </conditionalFormatting>
  <conditionalFormatting sqref="R45:R48 W40:W53">
    <cfRule type="cellIs" dxfId="254" priority="40299" operator="equal">
      <formula>"Y"</formula>
    </cfRule>
  </conditionalFormatting>
  <conditionalFormatting sqref="C41:C42">
    <cfRule type="cellIs" dxfId="253" priority="40183" operator="equal">
      <formula>"YES"</formula>
    </cfRule>
  </conditionalFormatting>
  <conditionalFormatting sqref="C41:C42">
    <cfRule type="cellIs" dxfId="252" priority="40182" operator="equal">
      <formula>"Y"</formula>
    </cfRule>
  </conditionalFormatting>
  <conditionalFormatting sqref="C41">
    <cfRule type="duplicateValues" dxfId="251" priority="40181"/>
  </conditionalFormatting>
  <conditionalFormatting sqref="C42">
    <cfRule type="duplicateValues" dxfId="250" priority="40180"/>
  </conditionalFormatting>
  <conditionalFormatting sqref="C41:C42">
    <cfRule type="duplicateValues" dxfId="249" priority="40179"/>
  </conditionalFormatting>
  <conditionalFormatting sqref="C41:C42">
    <cfRule type="duplicateValues" dxfId="248" priority="40178"/>
  </conditionalFormatting>
  <conditionalFormatting sqref="C39:C40">
    <cfRule type="cellIs" dxfId="247" priority="40177" operator="equal">
      <formula>"YES"</formula>
    </cfRule>
  </conditionalFormatting>
  <conditionalFormatting sqref="C39:C40">
    <cfRule type="cellIs" dxfId="246" priority="40176" operator="equal">
      <formula>"Y"</formula>
    </cfRule>
  </conditionalFormatting>
  <conditionalFormatting sqref="C39">
    <cfRule type="duplicateValues" dxfId="245" priority="40175"/>
  </conditionalFormatting>
  <conditionalFormatting sqref="C40">
    <cfRule type="duplicateValues" dxfId="244" priority="40174"/>
  </conditionalFormatting>
  <conditionalFormatting sqref="C39:C40">
    <cfRule type="duplicateValues" dxfId="243" priority="42079"/>
  </conditionalFormatting>
  <conditionalFormatting sqref="C39:C40">
    <cfRule type="duplicateValues" dxfId="242" priority="42080"/>
  </conditionalFormatting>
  <conditionalFormatting sqref="C11">
    <cfRule type="cellIs" dxfId="241" priority="40120" stopIfTrue="1" operator="between">
      <formula>9</formula>
      <formula>9</formula>
    </cfRule>
    <cfRule type="cellIs" dxfId="240" priority="40121" stopIfTrue="1" operator="between">
      <formula>8</formula>
      <formula>8</formula>
    </cfRule>
    <cfRule type="cellIs" dxfId="239" priority="40122" stopIfTrue="1" operator="between">
      <formula>7</formula>
      <formula>7</formula>
    </cfRule>
    <cfRule type="cellIs" dxfId="238" priority="40123" stopIfTrue="1" operator="between">
      <formula>6</formula>
      <formula>6</formula>
    </cfRule>
    <cfRule type="cellIs" dxfId="237" priority="40124" stopIfTrue="1" operator="between">
      <formula>5</formula>
      <formula>5</formula>
    </cfRule>
    <cfRule type="cellIs" dxfId="236" priority="40125" stopIfTrue="1" operator="between">
      <formula>4</formula>
      <formula>4</formula>
    </cfRule>
    <cfRule type="cellIs" dxfId="235" priority="40127" stopIfTrue="1" operator="between">
      <formula>3</formula>
      <formula>3</formula>
    </cfRule>
    <cfRule type="cellIs" dxfId="234" priority="40128" stopIfTrue="1" operator="between">
      <formula>2</formula>
      <formula>2</formula>
    </cfRule>
    <cfRule type="cellIs" dxfId="233" priority="40129" stopIfTrue="1" operator="between">
      <formula>1</formula>
      <formula>1</formula>
    </cfRule>
  </conditionalFormatting>
  <conditionalFormatting sqref="Y2:Y10">
    <cfRule type="cellIs" dxfId="232" priority="40073" operator="equal">
      <formula>"Y"</formula>
    </cfRule>
  </conditionalFormatting>
  <conditionalFormatting sqref="AI24">
    <cfRule type="cellIs" dxfId="231" priority="37916" operator="equal">
      <formula>"YES"</formula>
    </cfRule>
  </conditionalFormatting>
  <conditionalFormatting sqref="E16:G18">
    <cfRule type="cellIs" dxfId="230" priority="37861" operator="equal">
      <formula>"✓"</formula>
    </cfRule>
    <cfRule type="cellIs" dxfId="229" priority="37863" operator="equal">
      <formula>"YES"</formula>
    </cfRule>
  </conditionalFormatting>
  <conditionalFormatting sqref="E16:G18">
    <cfRule type="cellIs" dxfId="228" priority="37862" operator="equal">
      <formula>"Y"</formula>
    </cfRule>
  </conditionalFormatting>
  <conditionalFormatting sqref="C12:K12">
    <cfRule type="containsText" dxfId="227" priority="5349" operator="containsText" text="Y">
      <formula>NOT(ISERROR(SEARCH("Y",C12)))</formula>
    </cfRule>
    <cfRule type="cellIs" dxfId="226" priority="29616" operator="equal">
      <formula>"Y"</formula>
    </cfRule>
    <cfRule type="cellIs" dxfId="225" priority="29617" operator="equal">
      <formula>"Y"</formula>
    </cfRule>
  </conditionalFormatting>
  <conditionalFormatting sqref="N21">
    <cfRule type="cellIs" dxfId="224" priority="19301" operator="equal">
      <formula>"YES"</formula>
    </cfRule>
  </conditionalFormatting>
  <conditionalFormatting sqref="N21">
    <cfRule type="cellIs" dxfId="223" priority="19300" operator="equal">
      <formula>"Y"</formula>
    </cfRule>
  </conditionalFormatting>
  <conditionalFormatting sqref="B282">
    <cfRule type="cellIs" dxfId="222" priority="13186" operator="equal">
      <formula>"YES"</formula>
    </cfRule>
  </conditionalFormatting>
  <conditionalFormatting sqref="B283">
    <cfRule type="cellIs" dxfId="221" priority="13185" operator="equal">
      <formula>"YES"</formula>
    </cfRule>
  </conditionalFormatting>
  <conditionalFormatting sqref="B284">
    <cfRule type="cellIs" dxfId="220" priority="13184" operator="equal">
      <formula>"YES"</formula>
    </cfRule>
  </conditionalFormatting>
  <conditionalFormatting sqref="S42:U45 S48:U50 S31:V41 S51:V79 S82:V135">
    <cfRule type="cellIs" dxfId="219" priority="12992" operator="equal">
      <formula>"YES"</formula>
    </cfRule>
  </conditionalFormatting>
  <conditionalFormatting sqref="N22:N23">
    <cfRule type="cellIs" dxfId="218" priority="9553" operator="equal">
      <formula>"YES"</formula>
    </cfRule>
  </conditionalFormatting>
  <conditionalFormatting sqref="N22:N23">
    <cfRule type="cellIs" dxfId="217" priority="9552" operator="equal">
      <formula>"Y"</formula>
    </cfRule>
  </conditionalFormatting>
  <conditionalFormatting sqref="C2">
    <cfRule type="expression" dxfId="216" priority="30" stopIfTrue="1">
      <formula>AND(OR($I$1&lt;&gt;"digit",LEN($B$2)=1),OR($I$1="digit",$I$1="all"),$B$2&lt;&gt;"2")</formula>
    </cfRule>
    <cfRule type="expression" dxfId="215" priority="31" stopIfTrue="1">
      <formula>AND($I$1="double",LEN($B$2)=1,COUNTIF($B$2:$J$2,$B$2)+COUNTIF($B$2:$B$10,$B$2)+COUNTIF($B$2:$D$4,$B$2)+COUNTIF($B$2,$B$2)&gt;4)</formula>
    </cfRule>
  </conditionalFormatting>
  <conditionalFormatting sqref="D2">
    <cfRule type="expression" dxfId="214" priority="32" stopIfTrue="1">
      <formula>AND(OR($I$1&lt;&gt;"digit",LEN($C$2)=1),OR($I$1="digit",$I$1="all"),$C$2&lt;&gt;"8")</formula>
    </cfRule>
    <cfRule type="expression" dxfId="213" priority="33" stopIfTrue="1">
      <formula>AND($I$1="double",LEN($C$2)=1,COUNTIF($B$2:$J$2,$C$2)+COUNTIF($C$2:$C$10,$C$2)+COUNTIF($B$2:$D$4,$C$2)+COUNTIF($C$2,$C$2)&gt;4)</formula>
    </cfRule>
  </conditionalFormatting>
  <conditionalFormatting sqref="E2">
    <cfRule type="expression" dxfId="212" priority="34" stopIfTrue="1">
      <formula>AND(OR($I$1&lt;&gt;"digit",LEN($D$2)=1),OR($I$1="digit",$I$1="all"),$D$2&lt;&gt;"4")</formula>
    </cfRule>
    <cfRule type="expression" dxfId="211" priority="35" stopIfTrue="1">
      <formula>AND($I$1="double",LEN($D$2)=1,COUNTIF($B$2:$J$2,$D$2)+COUNTIF($D$2:$D$10,$D$2)+COUNTIF($B$2:$D$4,$D$2)+COUNTIF($D$2,$D$2)&gt;4)</formula>
    </cfRule>
  </conditionalFormatting>
  <conditionalFormatting sqref="F2">
    <cfRule type="expression" dxfId="210" priority="36" stopIfTrue="1">
      <formula>AND(OR($I$1&lt;&gt;"digit",LEN($E$2)=1),OR($I$1="digit",$I$1="all"),$E$2&lt;&gt;"7")</formula>
    </cfRule>
    <cfRule type="expression" dxfId="209" priority="37" stopIfTrue="1">
      <formula>AND($I$1="double",LEN($E$2)=1,COUNTIF($B$2:$J$2,$E$2)+COUNTIF($E$2:$E$10,$E$2)+COUNTIF($E$2:$G$4,$E$2)+COUNTIF($E$2,$E$2)&gt;4)</formula>
    </cfRule>
  </conditionalFormatting>
  <conditionalFormatting sqref="G2">
    <cfRule type="expression" dxfId="208" priority="38" stopIfTrue="1">
      <formula>AND(OR($I$1&lt;&gt;"digit",LEN($F$2)=1),OR($I$1="digit",$I$1="all"),$F$2&lt;&gt;"9")</formula>
    </cfRule>
    <cfRule type="expression" dxfId="207" priority="39" stopIfTrue="1">
      <formula>AND($I$1="double",LEN($F$2)=1,COUNTIF($B$2:$J$2,$F$2)+COUNTIF($F$2:$F$10,$F$2)+COUNTIF($E$2:$G$4,$F$2)+COUNTIF($F$2,$F$2)&gt;4)</formula>
    </cfRule>
  </conditionalFormatting>
  <conditionalFormatting sqref="H2">
    <cfRule type="expression" dxfId="206" priority="40" stopIfTrue="1">
      <formula>AND(OR($I$1&lt;&gt;"digit",LEN($G$2)=1),OR($I$1="digit",$I$1="all"),$G$2&lt;&gt;"6")</formula>
    </cfRule>
    <cfRule type="expression" dxfId="205" priority="41" stopIfTrue="1">
      <formula>AND($I$1="double",LEN($G$2)=1,COUNTIF($B$2:$J$2,$G$2)+COUNTIF($G$2:$G$10,$G$2)+COUNTIF($E$2:$G$4,$G$2)+COUNTIF($G$2,$G$2)&gt;4)</formula>
    </cfRule>
  </conditionalFormatting>
  <conditionalFormatting sqref="I2">
    <cfRule type="expression" dxfId="204" priority="42" stopIfTrue="1">
      <formula>AND(OR($I$1&lt;&gt;"digit",LEN($H$2)=1),OR($I$1="digit",$I$1="all"),$H$2&lt;&gt;"5")</formula>
    </cfRule>
    <cfRule type="expression" dxfId="203" priority="43" stopIfTrue="1">
      <formula>AND($I$1="double",LEN($H$2)=1,COUNTIF($B$2:$J$2,$H$2)+COUNTIF($H$2:$H$10,$H$2)+COUNTIF($H$2:$J$4,$H$2)+COUNTIF($H$2,$H$2)&gt;4)</formula>
    </cfRule>
  </conditionalFormatting>
  <conditionalFormatting sqref="J2">
    <cfRule type="expression" dxfId="202" priority="44" stopIfTrue="1">
      <formula>AND(OR($I$1&lt;&gt;"digit",LEN($I$2)=1),OR($I$1="digit",$I$1="all"),$I$2&lt;&gt;"3")</formula>
    </cfRule>
    <cfRule type="expression" dxfId="201" priority="45" stopIfTrue="1">
      <formula>AND($I$1="double",LEN($I$2)=1,COUNTIF($B$2:$J$2,$I$2)+COUNTIF($I$2:$I$10,$I$2)+COUNTIF($H$2:$J$4,$I$2)+COUNTIF($I$2,$I$2)&gt;4)</formula>
    </cfRule>
  </conditionalFormatting>
  <conditionalFormatting sqref="K2">
    <cfRule type="expression" dxfId="200" priority="46" stopIfTrue="1">
      <formula>AND(OR($I$1&lt;&gt;"digit",LEN($J$2)=1),OR($I$1="digit",$I$1="all"),$J$2&lt;&gt;"1")</formula>
    </cfRule>
    <cfRule type="expression" dxfId="199" priority="47" stopIfTrue="1">
      <formula>AND($I$1="double",LEN($J$2)=1,COUNTIF($B$2:$J$2,$J$2)+COUNTIF($J$2:$J$10,$J$2)+COUNTIF($H$2:$J$4,$J$2)+COUNTIF($J$2,$J$2)&gt;4)</formula>
    </cfRule>
  </conditionalFormatting>
  <conditionalFormatting sqref="C3">
    <cfRule type="expression" dxfId="198" priority="48" stopIfTrue="1">
      <formula>AND(OR($I$1&lt;&gt;"digit",LEN($B$3)=1),OR($I$1="digit",$I$1="all"),$B$3&lt;&gt;"9")</formula>
    </cfRule>
    <cfRule type="expression" dxfId="197" priority="49" stopIfTrue="1">
      <formula>AND($I$1="double",LEN($B$3)=1,COUNTIF($B$3:$J$3,$B$3)+COUNTIF($B$2:$B$10,$B$3)+COUNTIF($B$2:$D$4,$B$3)+COUNTIF($B$3,$B$3)&gt;4)</formula>
    </cfRule>
  </conditionalFormatting>
  <conditionalFormatting sqref="D3">
    <cfRule type="expression" dxfId="196" priority="50" stopIfTrue="1">
      <formula>AND(OR($I$1&lt;&gt;"digit",LEN($C$3)=1),OR($I$1="digit",$I$1="all"),$C$3&lt;&gt;"3")</formula>
    </cfRule>
    <cfRule type="expression" dxfId="195" priority="51" stopIfTrue="1">
      <formula>AND($I$1="double",LEN($C$3)=1,COUNTIF($B$3:$J$3,$C$3)+COUNTIF($C$2:$C$10,$C$3)+COUNTIF($B$2:$D$4,$C$3)+COUNTIF($C$3,$C$3)&gt;4)</formula>
    </cfRule>
  </conditionalFormatting>
  <conditionalFormatting sqref="E3">
    <cfRule type="expression" dxfId="194" priority="52" stopIfTrue="1">
      <formula>AND(OR($I$1&lt;&gt;"digit",LEN($D$3)=1),OR($I$1="digit",$I$1="all"),$D$3&lt;&gt;"6")</formula>
    </cfRule>
    <cfRule type="expression" dxfId="193" priority="53" stopIfTrue="1">
      <formula>AND($I$1="double",LEN($D$3)=1,COUNTIF($B$3:$J$3,$D$3)+COUNTIF($D$2:$D$10,$D$3)+COUNTIF($B$2:$D$4,$D$3)+COUNTIF($D$3,$D$3)&gt;4)</formula>
    </cfRule>
  </conditionalFormatting>
  <conditionalFormatting sqref="F3">
    <cfRule type="expression" dxfId="192" priority="54" stopIfTrue="1">
      <formula>AND(OR($I$1&lt;&gt;"digit",LEN($E$3)=1),OR($I$1="digit",$I$1="all"),$E$3&lt;&gt;"1")</formula>
    </cfRule>
    <cfRule type="expression" dxfId="191" priority="55" stopIfTrue="1">
      <formula>AND($I$1="double",LEN($E$3)=1,COUNTIF($B$3:$J$3,$E$3)+COUNTIF($E$2:$E$10,$E$3)+COUNTIF($E$2:$G$4,$E$3)+COUNTIF($E$3,$E$3)&gt;4)</formula>
    </cfRule>
  </conditionalFormatting>
  <conditionalFormatting sqref="G3">
    <cfRule type="expression" dxfId="190" priority="56" stopIfTrue="1">
      <formula>AND(OR($I$1&lt;&gt;"digit",LEN($F$3)=1),OR($I$1="digit",$I$1="all"),$F$3&lt;&gt;"8")</formula>
    </cfRule>
    <cfRule type="expression" dxfId="189" priority="57" stopIfTrue="1">
      <formula>AND($I$1="double",LEN($F$3)=1,COUNTIF($B$3:$J$3,$F$3)+COUNTIF($F$2:$F$10,$F$3)+COUNTIF($E$2:$G$4,$F$3)+COUNTIF($F$3,$F$3)&gt;4)</formula>
    </cfRule>
  </conditionalFormatting>
  <conditionalFormatting sqref="H3">
    <cfRule type="expression" dxfId="188" priority="58" stopIfTrue="1">
      <formula>AND(OR($I$1&lt;&gt;"digit",LEN($G$3)=1),OR($I$1="digit",$I$1="all"),$G$3&lt;&gt;"5")</formula>
    </cfRule>
    <cfRule type="expression" dxfId="187" priority="59" stopIfTrue="1">
      <formula>AND($I$1="double",LEN($G$3)=1,COUNTIF($B$3:$J$3,$G$3)+COUNTIF($G$2:$G$10,$G$3)+COUNTIF($E$2:$G$4,$G$3)+COUNTIF($G$3,$G$3)&gt;4)</formula>
    </cfRule>
  </conditionalFormatting>
  <conditionalFormatting sqref="I3">
    <cfRule type="expression" dxfId="186" priority="60" stopIfTrue="1">
      <formula>AND(OR($I$1&lt;&gt;"digit",LEN($H$3)=1),OR($I$1="digit",$I$1="all"),$H$3&lt;&gt;"4")</formula>
    </cfRule>
    <cfRule type="expression" dxfId="185" priority="61" stopIfTrue="1">
      <formula>AND($I$1="double",LEN($H$3)=1,COUNTIF($B$3:$J$3,$H$3)+COUNTIF($H$2:$H$10,$H$3)+COUNTIF($H$2:$J$4,$H$3)+COUNTIF($H$3,$H$3)&gt;4)</formula>
    </cfRule>
  </conditionalFormatting>
  <conditionalFormatting sqref="J3">
    <cfRule type="expression" dxfId="184" priority="62" stopIfTrue="1">
      <formula>AND(OR($I$1&lt;&gt;"digit",LEN($I$3)=1),OR($I$1="digit",$I$1="all"),$I$3&lt;&gt;"7")</formula>
    </cfRule>
    <cfRule type="expression" dxfId="183" priority="63" stopIfTrue="1">
      <formula>AND($I$1="double",LEN($I$3)=1,COUNTIF($B$3:$J$3,$I$3)+COUNTIF($I$2:$I$10,$I$3)+COUNTIF($H$2:$J$4,$I$3)+COUNTIF($I$3,$I$3)&gt;4)</formula>
    </cfRule>
  </conditionalFormatting>
  <conditionalFormatting sqref="K3">
    <cfRule type="expression" dxfId="182" priority="64" stopIfTrue="1">
      <formula>AND(OR($I$1&lt;&gt;"digit",LEN($J$3)=1),OR($I$1="digit",$I$1="all"),$J$3&lt;&gt;"2")</formula>
    </cfRule>
    <cfRule type="expression" dxfId="181" priority="65" stopIfTrue="1">
      <formula>AND($I$1="double",LEN($J$3)=1,COUNTIF($B$3:$J$3,$J$3)+COUNTIF($J$2:$J$10,$J$3)+COUNTIF($H$2:$J$4,$J$3)+COUNTIF($J$3,$J$3)&gt;4)</formula>
    </cfRule>
  </conditionalFormatting>
  <conditionalFormatting sqref="C4">
    <cfRule type="expression" dxfId="180" priority="66" stopIfTrue="1">
      <formula>AND(OR($I$1&lt;&gt;"digit",LEN($B$4)=1),OR($I$1="digit",$I$1="all"),$B$4&lt;&gt;"5")</formula>
    </cfRule>
    <cfRule type="expression" dxfId="179" priority="67" stopIfTrue="1">
      <formula>AND($I$1="double",LEN($B$4)=1,COUNTIF($B$4:$J$4,$B$4)+COUNTIF($B$2:$B$10,$B$4)+COUNTIF($B$2:$D$4,$B$4)+COUNTIF($B$4,$B$4)&gt;4)</formula>
    </cfRule>
  </conditionalFormatting>
  <conditionalFormatting sqref="D4">
    <cfRule type="expression" dxfId="178" priority="68" stopIfTrue="1">
      <formula>AND(OR($I$1&lt;&gt;"digit",LEN($C$4)=1),OR($I$1="digit",$I$1="all"),$C$4&lt;&gt;"7")</formula>
    </cfRule>
    <cfRule type="expression" dxfId="177" priority="69" stopIfTrue="1">
      <formula>AND($I$1="double",LEN($C$4)=1,COUNTIF($B$4:$J$4,$C$4)+COUNTIF($C$2:$C$10,$C$4)+COUNTIF($B$2:$D$4,$C$4)+COUNTIF($C$4,$C$4)&gt;4)</formula>
    </cfRule>
  </conditionalFormatting>
  <conditionalFormatting sqref="E4">
    <cfRule type="expression" dxfId="176" priority="70" stopIfTrue="1">
      <formula>AND(OR($I$1&lt;&gt;"digit",LEN($D$4)=1),OR($I$1="digit",$I$1="all"),$D$4&lt;&gt;"1")</formula>
    </cfRule>
    <cfRule type="expression" dxfId="175" priority="71" stopIfTrue="1">
      <formula>AND($I$1="double",LEN($D$4)=1,COUNTIF($B$4:$J$4,$D$4)+COUNTIF($D$2:$D$10,$D$4)+COUNTIF($B$2:$D$4,$D$4)+COUNTIF($D$4,$D$4)&gt;4)</formula>
    </cfRule>
  </conditionalFormatting>
  <conditionalFormatting sqref="F4">
    <cfRule type="expression" dxfId="174" priority="72" stopIfTrue="1">
      <formula>AND(OR($I$1&lt;&gt;"digit",LEN($E$4)=1),OR($I$1="digit",$I$1="all"),$E$4&lt;&gt;"4")</formula>
    </cfRule>
    <cfRule type="expression" dxfId="173" priority="73" stopIfTrue="1">
      <formula>AND($I$1="double",LEN($E$4)=1,COUNTIF($B$4:$J$4,$E$4)+COUNTIF($E$2:$E$10,$E$4)+COUNTIF($E$2:$G$4,$E$4)+COUNTIF($E$4,$E$4)&gt;4)</formula>
    </cfRule>
  </conditionalFormatting>
  <conditionalFormatting sqref="G4">
    <cfRule type="expression" dxfId="172" priority="74" stopIfTrue="1">
      <formula>AND(OR($I$1&lt;&gt;"digit",LEN($F$4)=1),OR($I$1="digit",$I$1="all"),$F$4&lt;&gt;"2")</formula>
    </cfRule>
  </conditionalFormatting>
  <conditionalFormatting sqref="G4">
    <cfRule type="expression" dxfId="171" priority="75" stopIfTrue="1">
      <formula>AND($I$1="double",LEN($F$4)=1,COUNTIF($B$4:$J$4,$F$4)+COUNTIF($F$2:$F$10,$F$4)+COUNTIF($E$2:$G$4,$F$4)+COUNTIF($F$4,$F$4)&gt;4)</formula>
    </cfRule>
  </conditionalFormatting>
  <conditionalFormatting sqref="H4">
    <cfRule type="expression" dxfId="170" priority="76" stopIfTrue="1">
      <formula>AND(OR($I$1&lt;&gt;"digit",LEN($G$4)=1),OR($I$1="digit",$I$1="all"),$G$4&lt;&gt;"3")</formula>
    </cfRule>
  </conditionalFormatting>
  <conditionalFormatting sqref="H4">
    <cfRule type="expression" dxfId="169" priority="77" stopIfTrue="1">
      <formula>AND($I$1="double",LEN($G$4)=1,COUNTIF($B$4:$J$4,$G$4)+COUNTIF($G$2:$G$10,$G$4)+COUNTIF($E$2:$G$4,$G$4)+COUNTIF($G$4,$G$4)&gt;4)</formula>
    </cfRule>
  </conditionalFormatting>
  <conditionalFormatting sqref="I4">
    <cfRule type="expression" dxfId="168" priority="78" stopIfTrue="1">
      <formula>AND(OR($I$1&lt;&gt;"digit",LEN($H$4)=1),OR($I$1="digit",$I$1="all"),$H$4&lt;&gt;"8")</formula>
    </cfRule>
  </conditionalFormatting>
  <conditionalFormatting sqref="I4">
    <cfRule type="expression" dxfId="167" priority="79" stopIfTrue="1">
      <formula>AND($I$1="double",LEN($H$4)=1,COUNTIF($B$4:$J$4,$H$4)+COUNTIF($H$2:$H$10,$H$4)+COUNTIF($H$2:$J$4,$H$4)+COUNTIF($H$4,$H$4)&gt;4)</formula>
    </cfRule>
  </conditionalFormatting>
  <conditionalFormatting sqref="J4">
    <cfRule type="expression" dxfId="166" priority="80" stopIfTrue="1">
      <formula>AND(OR($I$1&lt;&gt;"digit",LEN($I$4)=1),OR($I$1="digit",$I$1="all"),$I$4&lt;&gt;"6")</formula>
    </cfRule>
  </conditionalFormatting>
  <conditionalFormatting sqref="J4">
    <cfRule type="expression" dxfId="165" priority="81" stopIfTrue="1">
      <formula>AND($I$1="double",LEN($I$4)=1,COUNTIF($B$4:$J$4,$I$4)+COUNTIF($I$2:$I$10,$I$4)+COUNTIF($H$2:$J$4,$I$4)+COUNTIF($I$4,$I$4)&gt;4)</formula>
    </cfRule>
  </conditionalFormatting>
  <conditionalFormatting sqref="K4">
    <cfRule type="expression" dxfId="164" priority="82" stopIfTrue="1">
      <formula>AND(OR($I$1&lt;&gt;"digit",LEN($J$4)=1),OR($I$1="digit",$I$1="all"),$J$4&lt;&gt;"9")</formula>
    </cfRule>
  </conditionalFormatting>
  <conditionalFormatting sqref="K4">
    <cfRule type="expression" dxfId="163" priority="83" stopIfTrue="1">
      <formula>AND($I$1="double",LEN($J$4)=1,COUNTIF($B$4:$J$4,$J$4)+COUNTIF($J$2:$J$10,$J$4)+COUNTIF($H$2:$J$4,$J$4)+COUNTIF($J$4,$J$4)&gt;4)</formula>
    </cfRule>
  </conditionalFormatting>
  <conditionalFormatting sqref="C5">
    <cfRule type="expression" dxfId="162" priority="84" stopIfTrue="1">
      <formula>AND(OR($I$1&lt;&gt;"digit",LEN($B$5)=1),OR($I$1="digit",$I$1="all"),$B$5&lt;&gt;"8")</formula>
    </cfRule>
    <cfRule type="expression" dxfId="161" priority="85" stopIfTrue="1">
      <formula>AND($I$1="double",LEN($B$5)=1,COUNTIF($B$5:$J$5,$B$5)+COUNTIF($B$2:$B$10,$B$5)+COUNTIF($B$5:$D$7,$B$5)+COUNTIF($B$5,$B$5)&gt;4)</formula>
    </cfRule>
  </conditionalFormatting>
  <conditionalFormatting sqref="D5">
    <cfRule type="expression" dxfId="160" priority="86" stopIfTrue="1">
      <formula>AND(OR($I$1&lt;&gt;"digit",LEN($C$5)=1),OR($I$1="digit",$I$1="all"),$C$5&lt;&gt;"6")</formula>
    </cfRule>
    <cfRule type="expression" dxfId="159" priority="87" stopIfTrue="1">
      <formula>AND($I$1="double",LEN($C$5)=1,COUNTIF($B$5:$J$5,$C$5)+COUNTIF($C$2:$C$10,$C$5)+COUNTIF($B$5:$D$7,$C$5)+COUNTIF($C$5,$C$5)&gt;4)</formula>
    </cfRule>
  </conditionalFormatting>
  <conditionalFormatting sqref="E5">
    <cfRule type="expression" dxfId="158" priority="88" stopIfTrue="1">
      <formula>AND(OR($I$1&lt;&gt;"digit",LEN($D$5)=1),OR($I$1="digit",$I$1="all"),$D$5&lt;&gt;"5")</formula>
    </cfRule>
    <cfRule type="expression" dxfId="157" priority="89" stopIfTrue="1">
      <formula>AND($I$1="double",LEN($D$5)=1,COUNTIF($B$5:$J$5,$D$5)+COUNTIF($D$2:$D$10,$D$5)+COUNTIF($B$5:$D$7,$D$5)+COUNTIF($D$5,$D$5)&gt;4)</formula>
    </cfRule>
  </conditionalFormatting>
  <conditionalFormatting sqref="F5">
    <cfRule type="expression" dxfId="156" priority="90" stopIfTrue="1">
      <formula>AND(OR($I$1&lt;&gt;"digit",LEN($E$5)=1),OR($I$1="digit",$I$1="all"),$E$5&lt;&gt;"9")</formula>
    </cfRule>
    <cfRule type="expression" dxfId="155" priority="91" stopIfTrue="1">
      <formula>AND($I$1="double",LEN($E$5)=1,COUNTIF($B$5:$J$5,$E$5)+COUNTIF($E$2:$E$10,$E$5)+COUNTIF($E$5:$G$7,$E$5)+COUNTIF($E$5,$E$5)&gt;4)</formula>
    </cfRule>
  </conditionalFormatting>
  <conditionalFormatting sqref="G5">
    <cfRule type="expression" dxfId="154" priority="92" stopIfTrue="1">
      <formula>AND(OR($I$1&lt;&gt;"digit",LEN($F$5)=1),OR($I$1="digit",$I$1="all"),$F$5&lt;&gt;"3")</formula>
    </cfRule>
  </conditionalFormatting>
  <conditionalFormatting sqref="G5">
    <cfRule type="expression" dxfId="153" priority="93" stopIfTrue="1">
      <formula>AND($I$1="double",LEN($F$5)=1,COUNTIF($B$5:$J$5,$F$5)+COUNTIF($F$2:$F$10,$F$5)+COUNTIF($E$5:$G$7,$F$5)+COUNTIF($F$5,$F$5)&gt;4)</formula>
    </cfRule>
  </conditionalFormatting>
  <conditionalFormatting sqref="H5">
    <cfRule type="expression" dxfId="152" priority="94" stopIfTrue="1">
      <formula>AND(OR($I$1&lt;&gt;"digit",LEN($G$5)=1),OR($I$1="digit",$I$1="all"),$G$5&lt;&gt;"1")</formula>
    </cfRule>
  </conditionalFormatting>
  <conditionalFormatting sqref="H5">
    <cfRule type="expression" dxfId="151" priority="95" stopIfTrue="1">
      <formula>AND($I$1="double",LEN($G$5)=1,COUNTIF($B$5:$J$5,$G$5)+COUNTIF($G$2:$G$10,$G$5)+COUNTIF($E$5:$G$7,$G$5)+COUNTIF($G$5,$G$5)&gt;4)</formula>
    </cfRule>
  </conditionalFormatting>
  <conditionalFormatting sqref="I5">
    <cfRule type="expression" dxfId="150" priority="96" stopIfTrue="1">
      <formula>AND(OR($I$1&lt;&gt;"digit",LEN($H$5)=1),OR($I$1="digit",$I$1="all"),$H$5&lt;&gt;"2")</formula>
    </cfRule>
  </conditionalFormatting>
  <conditionalFormatting sqref="I5">
    <cfRule type="expression" dxfId="149" priority="97" stopIfTrue="1">
      <formula>AND($I$1="double",LEN($H$5)=1,COUNTIF($B$5:$J$5,$H$5)+COUNTIF($H$2:$H$10,$H$5)+COUNTIF($H$5:$J$7,$H$5)+COUNTIF($H$5,$H$5)&gt;4)</formula>
    </cfRule>
  </conditionalFormatting>
  <conditionalFormatting sqref="J5">
    <cfRule type="expression" dxfId="148" priority="98" stopIfTrue="1">
      <formula>AND(OR($I$1&lt;&gt;"digit",LEN($I$5)=1),OR($I$1="digit",$I$1="all"),$I$5&lt;&gt;"4")</formula>
    </cfRule>
  </conditionalFormatting>
  <conditionalFormatting sqref="J5">
    <cfRule type="expression" dxfId="147" priority="99" stopIfTrue="1">
      <formula>AND($I$1="double",LEN($I$5)=1,COUNTIF($B$5:$J$5,$I$5)+COUNTIF($I$2:$I$10,$I$5)+COUNTIF($H$5:$J$7,$I$5)+COUNTIF($I$5,$I$5)&gt;4)</formula>
    </cfRule>
  </conditionalFormatting>
  <conditionalFormatting sqref="K5">
    <cfRule type="expression" dxfId="146" priority="100" stopIfTrue="1">
      <formula>AND(OR($I$1&lt;&gt;"digit",LEN($J$5)=1),OR($I$1="digit",$I$1="all"),$J$5&lt;&gt;"7")</formula>
    </cfRule>
  </conditionalFormatting>
  <conditionalFormatting sqref="K5">
    <cfRule type="expression" dxfId="145" priority="101" stopIfTrue="1">
      <formula>AND($I$1="double",LEN($J$5)=1,COUNTIF($B$5:$J$5,$J$5)+COUNTIF($J$2:$J$10,$J$5)+COUNTIF($H$5:$J$7,$J$5)+COUNTIF($J$5,$J$5)&gt;4)</formula>
    </cfRule>
  </conditionalFormatting>
  <conditionalFormatting sqref="C6">
    <cfRule type="expression" dxfId="144" priority="102" stopIfTrue="1">
      <formula>AND(OR($I$1&lt;&gt;"digit",LEN($B$6)=1),OR($I$1="digit",$I$1="all"),$B$6&lt;&gt;"4")</formula>
    </cfRule>
    <cfRule type="expression" dxfId="143" priority="103" stopIfTrue="1">
      <formula>AND($I$1="double",LEN($B$6)=1,COUNTIF($B$6:$J$6,$B$6)+COUNTIF($B$2:$B$10,$B$6)+COUNTIF($B$5:$D$7,$B$6)+COUNTIF($B$6,$B$6)&gt;4)</formula>
    </cfRule>
  </conditionalFormatting>
  <conditionalFormatting sqref="D6">
    <cfRule type="expression" dxfId="142" priority="104" stopIfTrue="1">
      <formula>AND(OR($I$1&lt;&gt;"digit",LEN($C$6)=1),OR($I$1="digit",$I$1="all"),$C$6&lt;&gt;"2")</formula>
    </cfRule>
    <cfRule type="expression" dxfId="141" priority="105" stopIfTrue="1">
      <formula>AND($I$1="double",LEN($C$6)=1,COUNTIF($B$6:$J$6,$C$6)+COUNTIF($C$2:$C$10,$C$6)+COUNTIF($B$5:$D$7,$C$6)+COUNTIF($C$6,$C$6)&gt;4)</formula>
    </cfRule>
  </conditionalFormatting>
  <conditionalFormatting sqref="E6">
    <cfRule type="expression" dxfId="140" priority="106" stopIfTrue="1">
      <formula>AND(OR($I$1&lt;&gt;"digit",LEN($D$6)=1),OR($I$1="digit",$I$1="all"),$D$6&lt;&gt;"9")</formula>
    </cfRule>
    <cfRule type="expression" dxfId="139" priority="107" stopIfTrue="1">
      <formula>AND($I$1="double",LEN($D$6)=1,COUNTIF($B$6:$J$6,$D$6)+COUNTIF($D$2:$D$10,$D$6)+COUNTIF($B$5:$D$7,$D$6)+COUNTIF($D$6,$D$6)&gt;4)</formula>
    </cfRule>
  </conditionalFormatting>
  <conditionalFormatting sqref="F6">
    <cfRule type="expression" dxfId="138" priority="108" stopIfTrue="1">
      <formula>AND(OR($I$1&lt;&gt;"digit",LEN($E$6)=1),OR($I$1="digit",$I$1="all"),$E$6&lt;&gt;"8")</formula>
    </cfRule>
  </conditionalFormatting>
  <conditionalFormatting sqref="F6">
    <cfRule type="expression" dxfId="137" priority="109" stopIfTrue="1">
      <formula>AND($I$1="double",LEN($E$6)=1,COUNTIF($B$6:$J$6,$E$6)+COUNTIF($E$2:$E$10,$E$6)+COUNTIF($E$5:$G$7,$E$6)+COUNTIF($E$6,$E$6)&gt;4)</formula>
    </cfRule>
  </conditionalFormatting>
  <conditionalFormatting sqref="G6">
    <cfRule type="expression" dxfId="136" priority="110" stopIfTrue="1">
      <formula>AND(OR($I$1&lt;&gt;"digit",LEN($F$6)=1),OR($I$1="digit",$I$1="all"),$F$6&lt;&gt;"6")</formula>
    </cfRule>
  </conditionalFormatting>
  <conditionalFormatting sqref="G6">
    <cfRule type="expression" dxfId="135" priority="111" stopIfTrue="1">
      <formula>AND($I$1="double",LEN($F$6)=1,COUNTIF($B$6:$J$6,$F$6)+COUNTIF($F$2:$F$10,$F$6)+COUNTIF($E$5:$G$7,$F$6)+COUNTIF($F$6,$F$6)&gt;4)</formula>
    </cfRule>
  </conditionalFormatting>
  <conditionalFormatting sqref="H6">
    <cfRule type="expression" dxfId="134" priority="112" stopIfTrue="1">
      <formula>AND(OR($I$1&lt;&gt;"digit",LEN($G$6)=1),OR($I$1="digit",$I$1="all"),$G$6&lt;&gt;"7")</formula>
    </cfRule>
  </conditionalFormatting>
  <conditionalFormatting sqref="H6">
    <cfRule type="expression" dxfId="133" priority="113" stopIfTrue="1">
      <formula>AND($I$1="double",LEN($G$6)=1,COUNTIF($B$6:$J$6,$G$6)+COUNTIF($G$2:$G$10,$G$6)+COUNTIF($E$5:$G$7,$G$6)+COUNTIF($G$6,$G$6)&gt;4)</formula>
    </cfRule>
  </conditionalFormatting>
  <conditionalFormatting sqref="I6">
    <cfRule type="expression" dxfId="132" priority="114" stopIfTrue="1">
      <formula>AND(OR($I$1&lt;&gt;"digit",LEN($H$6)=1),OR($I$1="digit",$I$1="all"),$H$6&lt;&gt;"1")</formula>
    </cfRule>
  </conditionalFormatting>
  <conditionalFormatting sqref="I6">
    <cfRule type="expression" dxfId="131" priority="115" stopIfTrue="1">
      <formula>AND($I$1="double",LEN($H$6)=1,COUNTIF($B$6:$J$6,$H$6)+COUNTIF($H$2:$H$10,$H$6)+COUNTIF($H$5:$J$7,$H$6)+COUNTIF($H$6,$H$6)&gt;4)</formula>
    </cfRule>
  </conditionalFormatting>
  <conditionalFormatting sqref="J6">
    <cfRule type="expression" dxfId="130" priority="116" stopIfTrue="1">
      <formula>AND(OR($I$1&lt;&gt;"digit",LEN($I$6)=1),OR($I$1="digit",$I$1="all"),$I$6&lt;&gt;"5")</formula>
    </cfRule>
  </conditionalFormatting>
  <conditionalFormatting sqref="J6">
    <cfRule type="expression" dxfId="129" priority="117" stopIfTrue="1">
      <formula>AND($I$1="double",LEN($I$6)=1,COUNTIF($B$6:$J$6,$I$6)+COUNTIF($I$2:$I$10,$I$6)+COUNTIF($H$5:$J$7,$I$6)+COUNTIF($I$6,$I$6)&gt;4)</formula>
    </cfRule>
  </conditionalFormatting>
  <conditionalFormatting sqref="K6">
    <cfRule type="expression" dxfId="128" priority="118" stopIfTrue="1">
      <formula>AND(OR($I$1&lt;&gt;"digit",LEN($J$6)=1),OR($I$1="digit",$I$1="all"),$J$6&lt;&gt;"3")</formula>
    </cfRule>
  </conditionalFormatting>
  <conditionalFormatting sqref="K6">
    <cfRule type="expression" dxfId="127" priority="119" stopIfTrue="1">
      <formula>AND($I$1="double",LEN($J$6)=1,COUNTIF($B$6:$J$6,$J$6)+COUNTIF($J$2:$J$10,$J$6)+COUNTIF($H$5:$J$7,$J$6)+COUNTIF($J$6,$J$6)&gt;4)</formula>
    </cfRule>
  </conditionalFormatting>
  <conditionalFormatting sqref="C7">
    <cfRule type="expression" dxfId="126" priority="120" stopIfTrue="1">
      <formula>AND(OR($I$1&lt;&gt;"digit",LEN($B$7)=1),OR($I$1="digit",$I$1="all"),$B$7&lt;&gt;"7")</formula>
    </cfRule>
    <cfRule type="expression" dxfId="125" priority="121" stopIfTrue="1">
      <formula>AND($I$1="double",LEN($B$7)=1,COUNTIF($B$7:$J$7,$B$7)+COUNTIF($B$2:$B$10,$B$7)+COUNTIF($B$5:$D$7,$B$7)+COUNTIF($B$7,$B$7)&gt;4)</formula>
    </cfRule>
  </conditionalFormatting>
  <conditionalFormatting sqref="D7">
    <cfRule type="expression" dxfId="124" priority="122" stopIfTrue="1">
      <formula>AND(OR($I$1&lt;&gt;"digit",LEN($C$7)=1),OR($I$1="digit",$I$1="all"),$C$7&lt;&gt;"1")</formula>
    </cfRule>
    <cfRule type="expression" dxfId="123" priority="123" stopIfTrue="1">
      <formula>AND($I$1="double",LEN($C$7)=1,COUNTIF($B$7:$J$7,$C$7)+COUNTIF($C$2:$C$10,$C$7)+COUNTIF($B$5:$D$7,$C$7)+COUNTIF($C$7,$C$7)&gt;4)</formula>
    </cfRule>
  </conditionalFormatting>
  <conditionalFormatting sqref="E7">
    <cfRule type="expression" dxfId="122" priority="124" stopIfTrue="1">
      <formula>AND(OR($I$1&lt;&gt;"digit",LEN($D$7)=1),OR($I$1="digit",$I$1="all"),$D$7&lt;&gt;"3")</formula>
    </cfRule>
    <cfRule type="expression" dxfId="121" priority="125" stopIfTrue="1">
      <formula>AND($I$1="double",LEN($D$7)=1,COUNTIF($B$7:$J$7,$D$7)+COUNTIF($D$2:$D$10,$D$7)+COUNTIF($B$5:$D$7,$D$7)+COUNTIF($D$7,$D$7)&gt;4)</formula>
    </cfRule>
  </conditionalFormatting>
  <conditionalFormatting sqref="F7">
    <cfRule type="expression" dxfId="120" priority="126" stopIfTrue="1">
      <formula>AND(OR($I$1&lt;&gt;"digit",LEN($E$7)=1),OR($I$1="digit",$I$1="all"),$E$7&lt;&gt;"5")</formula>
    </cfRule>
  </conditionalFormatting>
  <conditionalFormatting sqref="F7">
    <cfRule type="expression" dxfId="119" priority="127" stopIfTrue="1">
      <formula>AND($I$1="double",LEN($E$7)=1,COUNTIF($B$7:$J$7,$E$7)+COUNTIF($E$2:$E$10,$E$7)+COUNTIF($E$5:$G$7,$E$7)+COUNTIF($E$7,$E$7)&gt;4)</formula>
    </cfRule>
  </conditionalFormatting>
  <conditionalFormatting sqref="G7">
    <cfRule type="expression" dxfId="118" priority="128" stopIfTrue="1">
      <formula>AND(OR($I$1&lt;&gt;"digit",LEN($F$7)=1),OR($I$1="digit",$I$1="all"),$F$7&lt;&gt;"4")</formula>
    </cfRule>
  </conditionalFormatting>
  <conditionalFormatting sqref="G7">
    <cfRule type="expression" dxfId="117" priority="129" stopIfTrue="1">
      <formula>AND($I$1="double",LEN($F$7)=1,COUNTIF($B$7:$J$7,$F$7)+COUNTIF($F$2:$F$10,$F$7)+COUNTIF($E$5:$G$7,$F$7)+COUNTIF($F$7,$F$7)&gt;4)</formula>
    </cfRule>
  </conditionalFormatting>
  <conditionalFormatting sqref="H7">
    <cfRule type="expression" dxfId="116" priority="130" stopIfTrue="1">
      <formula>AND(OR($I$1&lt;&gt;"digit",LEN($G$7)=1),OR($I$1="digit",$I$1="all"),$G$7&lt;&gt;"2")</formula>
    </cfRule>
  </conditionalFormatting>
  <conditionalFormatting sqref="H7">
    <cfRule type="expression" dxfId="115" priority="131" stopIfTrue="1">
      <formula>AND($I$1="double",LEN($G$7)=1,COUNTIF($B$7:$J$7,$G$7)+COUNTIF($G$2:$G$10,$G$7)+COUNTIF($E$5:$G$7,$G$7)+COUNTIF($G$7,$G$7)&gt;4)</formula>
    </cfRule>
  </conditionalFormatting>
  <conditionalFormatting sqref="I7">
    <cfRule type="expression" dxfId="114" priority="132" stopIfTrue="1">
      <formula>AND(OR($I$1&lt;&gt;"digit",LEN($H$7)=1),OR($I$1="digit",$I$1="all"),$H$7&lt;&gt;"9")</formula>
    </cfRule>
  </conditionalFormatting>
  <conditionalFormatting sqref="I7">
    <cfRule type="expression" dxfId="113" priority="133" stopIfTrue="1">
      <formula>AND($I$1="double",LEN($H$7)=1,COUNTIF($B$7:$J$7,$H$7)+COUNTIF($H$2:$H$10,$H$7)+COUNTIF($H$5:$J$7,$H$7)+COUNTIF($H$7,$H$7)&gt;4)</formula>
    </cfRule>
  </conditionalFormatting>
  <conditionalFormatting sqref="J7">
    <cfRule type="expression" dxfId="112" priority="134" stopIfTrue="1">
      <formula>AND(OR($I$1&lt;&gt;"digit",LEN($I$7)=1),OR($I$1="digit",$I$1="all"),$I$7&lt;&gt;"8")</formula>
    </cfRule>
  </conditionalFormatting>
  <conditionalFormatting sqref="J7">
    <cfRule type="expression" dxfId="111" priority="135" stopIfTrue="1">
      <formula>AND($I$1="double",LEN($I$7)=1,COUNTIF($B$7:$J$7,$I$7)+COUNTIF($I$2:$I$10,$I$7)+COUNTIF($H$5:$J$7,$I$7)+COUNTIF($I$7,$I$7)&gt;4)</formula>
    </cfRule>
  </conditionalFormatting>
  <conditionalFormatting sqref="K7">
    <cfRule type="expression" dxfId="110" priority="136" stopIfTrue="1">
      <formula>AND(OR($I$1&lt;&gt;"digit",LEN($J$7)=1),OR($I$1="digit",$I$1="all"),$J$7&lt;&gt;"6")</formula>
    </cfRule>
  </conditionalFormatting>
  <conditionalFormatting sqref="K7">
    <cfRule type="expression" dxfId="109" priority="137" stopIfTrue="1">
      <formula>AND($I$1="double",LEN($J$7)=1,COUNTIF($B$7:$J$7,$J$7)+COUNTIF($J$2:$J$10,$J$7)+COUNTIF($H$5:$J$7,$J$7)+COUNTIF($J$7,$J$7)&gt;4)</formula>
    </cfRule>
  </conditionalFormatting>
  <conditionalFormatting sqref="C8">
    <cfRule type="expression" dxfId="108" priority="138" stopIfTrue="1">
      <formula>AND(OR($I$1&lt;&gt;"digit",LEN($B$8)=1),OR($I$1="digit",$I$1="all"),$B$8&lt;&gt;"6")</formula>
    </cfRule>
    <cfRule type="expression" dxfId="107" priority="139" stopIfTrue="1">
      <formula>AND($I$1="double",LEN($B$8)=1,COUNTIF($B$8:$J$8,$B$8)+COUNTIF($B$2:$B$10,$B$8)+COUNTIF($B$8:$D$10,$B$8)+COUNTIF($B$8,$B$8)&gt;4)</formula>
    </cfRule>
  </conditionalFormatting>
  <conditionalFormatting sqref="D8">
    <cfRule type="expression" dxfId="106" priority="140" stopIfTrue="1">
      <formula>AND(OR($I$1&lt;&gt;"digit",LEN($C$8)=1),OR($I$1="digit",$I$1="all"),$C$8&lt;&gt;"4")</formula>
    </cfRule>
    <cfRule type="expression" dxfId="105" priority="141" stopIfTrue="1">
      <formula>AND($I$1="double",LEN($C$8)=1,COUNTIF($B$8:$J$8,$C$8)+COUNTIF($C$2:$C$10,$C$8)+COUNTIF($B$8:$D$10,$C$8)+COUNTIF($C$8,$C$8)&gt;4)</formula>
    </cfRule>
  </conditionalFormatting>
  <conditionalFormatting sqref="E8">
    <cfRule type="expression" dxfId="104" priority="142" stopIfTrue="1">
      <formula>AND(OR($I$1&lt;&gt;"digit",LEN($D$8)=1),OR($I$1="digit",$I$1="all"),$D$8&lt;&gt;"2")</formula>
    </cfRule>
    <cfRule type="expression" dxfId="103" priority="143" stopIfTrue="1">
      <formula>AND($I$1="double",LEN($D$8)=1,COUNTIF($B$8:$J$8,$D$8)+COUNTIF($D$2:$D$10,$D$8)+COUNTIF($B$8:$D$10,$D$8)+COUNTIF($D$8,$D$8)&gt;4)</formula>
    </cfRule>
  </conditionalFormatting>
  <conditionalFormatting sqref="F8">
    <cfRule type="expression" dxfId="102" priority="144" stopIfTrue="1">
      <formula>AND(OR($I$1&lt;&gt;"digit",LEN($E$8)=1),OR($I$1="digit",$I$1="all"),$E$8&lt;&gt;"3")</formula>
    </cfRule>
  </conditionalFormatting>
  <conditionalFormatting sqref="F8">
    <cfRule type="expression" dxfId="101" priority="145" stopIfTrue="1">
      <formula>AND($I$1="double",LEN($E$8)=1,COUNTIF($B$8:$J$8,$E$8)+COUNTIF($E$2:$E$10,$E$8)+COUNTIF($E$8:$G$10,$E$8)+COUNTIF($E$8,$E$8)&gt;4)</formula>
    </cfRule>
  </conditionalFormatting>
  <conditionalFormatting sqref="G8">
    <cfRule type="expression" dxfId="100" priority="146" stopIfTrue="1">
      <formula>AND(OR($I$1&lt;&gt;"digit",LEN($F$8)=1),OR($I$1="digit",$I$1="all"),$F$8&lt;&gt;"1")</formula>
    </cfRule>
  </conditionalFormatting>
  <conditionalFormatting sqref="G8">
    <cfRule type="expression" dxfId="99" priority="147" stopIfTrue="1">
      <formula>AND($I$1="double",LEN($F$8)=1,COUNTIF($B$8:$J$8,$F$8)+COUNTIF($F$2:$F$10,$F$8)+COUNTIF($E$8:$G$10,$F$8)+COUNTIF($F$8,$F$8)&gt;4)</formula>
    </cfRule>
  </conditionalFormatting>
  <conditionalFormatting sqref="H8">
    <cfRule type="expression" dxfId="98" priority="148" stopIfTrue="1">
      <formula>AND(OR($I$1&lt;&gt;"digit",LEN($G$8)=1),OR($I$1="digit",$I$1="all"),$G$8&lt;&gt;"8")</formula>
    </cfRule>
  </conditionalFormatting>
  <conditionalFormatting sqref="H8">
    <cfRule type="expression" dxfId="97" priority="149" stopIfTrue="1">
      <formula>AND($I$1="double",LEN($G$8)=1,COUNTIF($B$8:$J$8,$G$8)+COUNTIF($G$2:$G$10,$G$8)+COUNTIF($E$8:$G$10,$G$8)+COUNTIF($G$8,$G$8)&gt;4)</formula>
    </cfRule>
  </conditionalFormatting>
  <conditionalFormatting sqref="I8">
    <cfRule type="expression" dxfId="96" priority="150" stopIfTrue="1">
      <formula>AND(OR($I$1&lt;&gt;"digit",LEN($H$8)=1),OR($I$1="digit",$I$1="all"),$H$8&lt;&gt;"7")</formula>
    </cfRule>
  </conditionalFormatting>
  <conditionalFormatting sqref="I8">
    <cfRule type="expression" dxfId="95" priority="151" stopIfTrue="1">
      <formula>AND($I$1="double",LEN($H$8)=1,COUNTIF($B$8:$J$8,$H$8)+COUNTIF($H$2:$H$10,$H$8)+COUNTIF($H$8:$J$10,$H$8)+COUNTIF($H$8,$H$8)&gt;4)</formula>
    </cfRule>
  </conditionalFormatting>
  <conditionalFormatting sqref="J8">
    <cfRule type="expression" dxfId="94" priority="152" stopIfTrue="1">
      <formula>AND(OR($I$1&lt;&gt;"digit",LEN($I$8)=1),OR($I$1="digit",$I$1="all"),$I$8&lt;&gt;"9")</formula>
    </cfRule>
  </conditionalFormatting>
  <conditionalFormatting sqref="J8">
    <cfRule type="expression" dxfId="93" priority="153" stopIfTrue="1">
      <formula>AND($I$1="double",LEN($I$8)=1,COUNTIF($B$8:$J$8,$I$8)+COUNTIF($I$2:$I$10,$I$8)+COUNTIF($H$8:$J$10,$I$8)+COUNTIF($I$8,$I$8)&gt;4)</formula>
    </cfRule>
  </conditionalFormatting>
  <conditionalFormatting sqref="K8">
    <cfRule type="expression" dxfId="92" priority="154" stopIfTrue="1">
      <formula>AND(OR($I$1&lt;&gt;"digit",LEN($J$8)=1),OR($I$1="digit",$I$1="all"),$J$8&lt;&gt;"5")</formula>
    </cfRule>
  </conditionalFormatting>
  <conditionalFormatting sqref="K8">
    <cfRule type="expression" dxfId="91" priority="155" stopIfTrue="1">
      <formula>AND($I$1="double",LEN($J$8)=1,COUNTIF($B$8:$J$8,$J$8)+COUNTIF($J$2:$J$10,$J$8)+COUNTIF($H$8:$J$10,$J$8)+COUNTIF($J$8,$J$8)&gt;4)</formula>
    </cfRule>
  </conditionalFormatting>
  <conditionalFormatting sqref="C9">
    <cfRule type="expression" dxfId="90" priority="156" stopIfTrue="1">
      <formula>AND(OR($I$1&lt;&gt;"digit",LEN($B$9)=1),OR($I$1="digit",$I$1="all"),$B$9&lt;&gt;"1")</formula>
    </cfRule>
    <cfRule type="expression" dxfId="89" priority="157" stopIfTrue="1">
      <formula>AND($I$1="double",LEN($B$9)=1,COUNTIF($B$9:$J$9,$B$9)+COUNTIF($B$2:$B$10,$B$9)+COUNTIF($B$8:$D$10,$B$9)+COUNTIF($B$9,$B$9)&gt;4)</formula>
    </cfRule>
  </conditionalFormatting>
  <conditionalFormatting sqref="D9">
    <cfRule type="expression" dxfId="88" priority="158" stopIfTrue="1">
      <formula>AND(OR($I$1&lt;&gt;"digit",LEN($C$9)=1),OR($I$1="digit",$I$1="all"),$C$9&lt;&gt;"9")</formula>
    </cfRule>
  </conditionalFormatting>
  <conditionalFormatting sqref="D9">
    <cfRule type="expression" dxfId="87" priority="159" stopIfTrue="1">
      <formula>AND($I$1="double",LEN($C$9)=1,COUNTIF($B$9:$J$9,$C$9)+COUNTIF($C$2:$C$10,$C$9)+COUNTIF($B$8:$D$10,$C$9)+COUNTIF($C$9,$C$9)&gt;4)</formula>
    </cfRule>
  </conditionalFormatting>
  <conditionalFormatting sqref="E9">
    <cfRule type="expression" dxfId="86" priority="160" stopIfTrue="1">
      <formula>AND(OR($I$1&lt;&gt;"digit",LEN($D$9)=1),OR($I$1="digit",$I$1="all"),$D$9&lt;&gt;"7")</formula>
    </cfRule>
  </conditionalFormatting>
  <conditionalFormatting sqref="E9">
    <cfRule type="expression" dxfId="85" priority="161" stopIfTrue="1">
      <formula>AND($I$1="double",LEN($D$9)=1,COUNTIF($B$9:$J$9,$D$9)+COUNTIF($D$2:$D$10,$D$9)+COUNTIF($B$8:$D$10,$D$9)+COUNTIF($D$9,$D$9)&gt;4)</formula>
    </cfRule>
  </conditionalFormatting>
  <conditionalFormatting sqref="F9">
    <cfRule type="expression" dxfId="84" priority="162" stopIfTrue="1">
      <formula>AND(OR($I$1&lt;&gt;"digit",LEN($E$9)=1),OR($I$1="digit",$I$1="all"),$E$9&lt;&gt;"6")</formula>
    </cfRule>
  </conditionalFormatting>
  <conditionalFormatting sqref="F9">
    <cfRule type="expression" dxfId="83" priority="163" stopIfTrue="1">
      <formula>AND($I$1="double",LEN($E$9)=1,COUNTIF($B$9:$J$9,$E$9)+COUNTIF($E$2:$E$10,$E$9)+COUNTIF($E$8:$G$10,$E$9)+COUNTIF($E$9,$E$9)&gt;4)</formula>
    </cfRule>
  </conditionalFormatting>
  <conditionalFormatting sqref="G9">
    <cfRule type="expression" dxfId="82" priority="164" stopIfTrue="1">
      <formula>AND(OR($I$1&lt;&gt;"digit",LEN($F$9)=1),OR($I$1="digit",$I$1="all"),$F$9&lt;&gt;"5")</formula>
    </cfRule>
  </conditionalFormatting>
  <conditionalFormatting sqref="G9">
    <cfRule type="expression" dxfId="81" priority="165" stopIfTrue="1">
      <formula>AND($I$1="double",LEN($F$9)=1,COUNTIF($B$9:$J$9,$F$9)+COUNTIF($F$2:$F$10,$F$9)+COUNTIF($E$8:$G$10,$F$9)+COUNTIF($F$9,$F$9)&gt;4)</formula>
    </cfRule>
  </conditionalFormatting>
  <conditionalFormatting sqref="H9">
    <cfRule type="expression" dxfId="80" priority="166" stopIfTrue="1">
      <formula>AND(OR($I$1&lt;&gt;"digit",LEN($G$9)=1),OR($I$1="digit",$I$1="all"),$G$9&lt;&gt;"4")</formula>
    </cfRule>
  </conditionalFormatting>
  <conditionalFormatting sqref="H9">
    <cfRule type="expression" dxfId="79" priority="167" stopIfTrue="1">
      <formula>AND($I$1="double",LEN($G$9)=1,COUNTIF($B$9:$J$9,$G$9)+COUNTIF($G$2:$G$10,$G$9)+COUNTIF($E$8:$G$10,$G$9)+COUNTIF($G$9,$G$9)&gt;4)</formula>
    </cfRule>
  </conditionalFormatting>
  <conditionalFormatting sqref="I9">
    <cfRule type="expression" dxfId="78" priority="168" stopIfTrue="1">
      <formula>AND(OR($I$1&lt;&gt;"digit",LEN($H$9)=1),OR($I$1="digit",$I$1="all"),$H$9&lt;&gt;"3")</formula>
    </cfRule>
  </conditionalFormatting>
  <conditionalFormatting sqref="I9">
    <cfRule type="expression" dxfId="77" priority="169" stopIfTrue="1">
      <formula>AND($I$1="double",LEN($H$9)=1,COUNTIF($B$9:$J$9,$H$9)+COUNTIF($H$2:$H$10,$H$9)+COUNTIF($H$8:$J$10,$H$9)+COUNTIF($H$9,$H$9)&gt;4)</formula>
    </cfRule>
  </conditionalFormatting>
  <conditionalFormatting sqref="J9">
    <cfRule type="expression" dxfId="76" priority="170" stopIfTrue="1">
      <formula>AND(OR($I$1&lt;&gt;"digit",LEN($I$9)=1),OR($I$1="digit",$I$1="all"),$I$9&lt;&gt;"2")</formula>
    </cfRule>
  </conditionalFormatting>
  <conditionalFormatting sqref="J9">
    <cfRule type="expression" dxfId="75" priority="171" stopIfTrue="1">
      <formula>AND($I$1="double",LEN($I$9)=1,COUNTIF($B$9:$J$9,$I$9)+COUNTIF($I$2:$I$10,$I$9)+COUNTIF($H$8:$J$10,$I$9)+COUNTIF($I$9,$I$9)&gt;4)</formula>
    </cfRule>
  </conditionalFormatting>
  <conditionalFormatting sqref="K9">
    <cfRule type="expression" dxfId="74" priority="172" stopIfTrue="1">
      <formula>AND(OR($I$1&lt;&gt;"digit",LEN($J$9)=1),OR($I$1="digit",$I$1="all"),$J$9&lt;&gt;"8")</formula>
    </cfRule>
  </conditionalFormatting>
  <conditionalFormatting sqref="K9">
    <cfRule type="expression" dxfId="73" priority="173" stopIfTrue="1">
      <formula>AND($I$1="double",LEN($J$9)=1,COUNTIF($B$9:$J$9,$J$9)+COUNTIF($J$2:$J$10,$J$9)+COUNTIF($H$8:$J$10,$J$9)+COUNTIF($J$9,$J$9)&gt;4)</formula>
    </cfRule>
  </conditionalFormatting>
  <conditionalFormatting sqref="C10">
    <cfRule type="expression" dxfId="72" priority="174" stopIfTrue="1">
      <formula>AND(OR($I$1&lt;&gt;"digit",LEN($B$10)=1),OR($I$1="digit",$I$1="all"),$B$10&lt;&gt;"3")</formula>
    </cfRule>
  </conditionalFormatting>
  <conditionalFormatting sqref="C10">
    <cfRule type="expression" dxfId="71" priority="175" stopIfTrue="1">
      <formula>AND($I$1="double",LEN($B$10)=1,COUNTIF($B$10:$J$10,$B$10)+COUNTIF($B$2:$B$10,$B$10)+COUNTIF($B$8:$D$10,$B$10)+COUNTIF($B$10,$B$10)&gt;4)</formula>
    </cfRule>
  </conditionalFormatting>
  <conditionalFormatting sqref="D10">
    <cfRule type="expression" dxfId="70" priority="176" stopIfTrue="1">
      <formula>AND(OR($I$1&lt;&gt;"digit",LEN($C$10)=1),OR($I$1="digit",$I$1="all"),$C$10&lt;&gt;"5")</formula>
    </cfRule>
  </conditionalFormatting>
  <conditionalFormatting sqref="D10">
    <cfRule type="expression" dxfId="69" priority="177" stopIfTrue="1">
      <formula>AND($I$1="double",LEN($C$10)=1,COUNTIF($B$10:$J$10,$C$10)+COUNTIF($C$2:$C$10,$C$10)+COUNTIF($B$8:$D$10,$C$10)+COUNTIF($C$10,$C$10)&gt;4)</formula>
    </cfRule>
  </conditionalFormatting>
  <conditionalFormatting sqref="E10">
    <cfRule type="expression" dxfId="68" priority="178" stopIfTrue="1">
      <formula>AND(OR($I$1&lt;&gt;"digit",LEN($D$10)=1),OR($I$1="digit",$I$1="all"),$D$10&lt;&gt;"8")</formula>
    </cfRule>
  </conditionalFormatting>
  <conditionalFormatting sqref="E10">
    <cfRule type="expression" dxfId="67" priority="179" stopIfTrue="1">
      <formula>AND($I$1="double",LEN($D$10)=1,COUNTIF($B$10:$J$10,$D$10)+COUNTIF($D$2:$D$10,$D$10)+COUNTIF($B$8:$D$10,$D$10)+COUNTIF($D$10,$D$10)&gt;4)</formula>
    </cfRule>
  </conditionalFormatting>
  <conditionalFormatting sqref="F10">
    <cfRule type="expression" dxfId="66" priority="180" stopIfTrue="1">
      <formula>AND(OR($I$1&lt;&gt;"digit",LEN($E$10)=1),OR($I$1="digit",$I$1="all"),$E$10&lt;&gt;"2")</formula>
    </cfRule>
  </conditionalFormatting>
  <conditionalFormatting sqref="F10">
    <cfRule type="expression" dxfId="65" priority="181" stopIfTrue="1">
      <formula>AND($I$1="double",LEN($E$10)=1,COUNTIF($B$10:$J$10,$E$10)+COUNTIF($E$2:$E$10,$E$10)+COUNTIF($E$8:$G$10,$E$10)+COUNTIF($E$10,$E$10)&gt;4)</formula>
    </cfRule>
  </conditionalFormatting>
  <conditionalFormatting sqref="G10">
    <cfRule type="expression" dxfId="64" priority="182" stopIfTrue="1">
      <formula>AND(OR($I$1&lt;&gt;"digit",LEN($F$10)=1),OR($I$1="digit",$I$1="all"),$F$10&lt;&gt;"7")</formula>
    </cfRule>
  </conditionalFormatting>
  <conditionalFormatting sqref="G10">
    <cfRule type="expression" dxfId="63" priority="183" stopIfTrue="1">
      <formula>AND($I$1="double",LEN($F$10)=1,COUNTIF($B$10:$J$10,$F$10)+COUNTIF($F$2:$F$10,$F$10)+COUNTIF($E$8:$G$10,$F$10)+COUNTIF($F$10,$F$10)&gt;4)</formula>
    </cfRule>
  </conditionalFormatting>
  <conditionalFormatting sqref="H10">
    <cfRule type="expression" dxfId="62" priority="184" stopIfTrue="1">
      <formula>AND(OR($I$1&lt;&gt;"digit",LEN($G$10)=1),OR($I$1="digit",$I$1="all"),$G$10&lt;&gt;"9")</formula>
    </cfRule>
  </conditionalFormatting>
  <conditionalFormatting sqref="H10">
    <cfRule type="expression" dxfId="61" priority="185" stopIfTrue="1">
      <formula>AND($I$1="double",LEN($G$10)=1,COUNTIF($B$10:$J$10,$G$10)+COUNTIF($G$2:$G$10,$G$10)+COUNTIF($E$8:$G$10,$G$10)+COUNTIF($G$10,$G$10)&gt;4)</formula>
    </cfRule>
  </conditionalFormatting>
  <conditionalFormatting sqref="I10">
    <cfRule type="expression" dxfId="60" priority="186" stopIfTrue="1">
      <formula>AND(OR($I$1&lt;&gt;"digit",LEN($H$10)=1),OR($I$1="digit",$I$1="all"),$H$10&lt;&gt;"6")</formula>
    </cfRule>
  </conditionalFormatting>
  <conditionalFormatting sqref="I10">
    <cfRule type="expression" dxfId="59" priority="187" stopIfTrue="1">
      <formula>AND($I$1="double",LEN($H$10)=1,COUNTIF($B$10:$J$10,$H$10)+COUNTIF($H$2:$H$10,$H$10)+COUNTIF($H$8:$J$10,$H$10)+COUNTIF($H$10,$H$10)&gt;4)</formula>
    </cfRule>
  </conditionalFormatting>
  <conditionalFormatting sqref="J10">
    <cfRule type="expression" dxfId="58" priority="188" stopIfTrue="1">
      <formula>AND(OR($I$1&lt;&gt;"digit",LEN($I$10)=1),OR($I$1="digit",$I$1="all"),$I$10&lt;&gt;"1")</formula>
    </cfRule>
  </conditionalFormatting>
  <conditionalFormatting sqref="J10">
    <cfRule type="expression" dxfId="57" priority="189" stopIfTrue="1">
      <formula>AND($I$1="double",LEN($I$10)=1,COUNTIF($B$10:$J$10,$I$10)+COUNTIF($I$2:$I$10,$I$10)+COUNTIF($H$8:$J$10,$I$10)+COUNTIF($I$10,$I$10)&gt;4)</formula>
    </cfRule>
  </conditionalFormatting>
  <conditionalFormatting sqref="K10">
    <cfRule type="expression" dxfId="56" priority="190" stopIfTrue="1">
      <formula>AND(OR($I$1&lt;&gt;"digit",LEN($J$10)=1),OR($I$1="digit",$I$1="all"),$J$10&lt;&gt;"4")</formula>
    </cfRule>
  </conditionalFormatting>
  <conditionalFormatting sqref="K10">
    <cfRule type="expression" dxfId="55" priority="191" stopIfTrue="1">
      <formula>AND($I$1="double",LEN($J$10)=1,COUNTIF($B$10:$J$10,$J$10)+COUNTIF($J$2:$J$10,$J$10)+COUNTIF($H$8:$J$10,$J$10)+COUNTIF($J$10,$J$10)&gt;4)</formula>
    </cfRule>
  </conditionalFormatting>
  <conditionalFormatting sqref="C2:E4">
    <cfRule type="duplicateValues" dxfId="54" priority="29"/>
  </conditionalFormatting>
  <conditionalFormatting sqref="C2:C10">
    <cfRule type="duplicateValues" dxfId="53" priority="28"/>
  </conditionalFormatting>
  <conditionalFormatting sqref="D2:D10">
    <cfRule type="duplicateValues" dxfId="52" priority="27"/>
  </conditionalFormatting>
  <conditionalFormatting sqref="E2:E10">
    <cfRule type="duplicateValues" dxfId="51" priority="23"/>
    <cfRule type="duplicateValues" dxfId="50" priority="26"/>
  </conditionalFormatting>
  <conditionalFormatting sqref="F2:F10">
    <cfRule type="duplicateValues" dxfId="49" priority="24"/>
    <cfRule type="duplicateValues" dxfId="48" priority="25"/>
  </conditionalFormatting>
  <conditionalFormatting sqref="G2:G10">
    <cfRule type="duplicateValues" dxfId="47" priority="22"/>
  </conditionalFormatting>
  <conditionalFormatting sqref="H2:H10">
    <cfRule type="duplicateValues" dxfId="46" priority="21"/>
  </conditionalFormatting>
  <conditionalFormatting sqref="I2:I10">
    <cfRule type="duplicateValues" dxfId="45" priority="20"/>
  </conditionalFormatting>
  <conditionalFormatting sqref="J2:J10">
    <cfRule type="duplicateValues" dxfId="44" priority="19"/>
  </conditionalFormatting>
  <conditionalFormatting sqref="K2:K10">
    <cfRule type="duplicateValues" dxfId="43" priority="18"/>
  </conditionalFormatting>
  <conditionalFormatting sqref="F2:H4">
    <cfRule type="duplicateValues" dxfId="42" priority="17"/>
  </conditionalFormatting>
  <conditionalFormatting sqref="I2:K4">
    <cfRule type="duplicateValues" dxfId="41" priority="16"/>
  </conditionalFormatting>
  <conditionalFormatting sqref="I5:K7">
    <cfRule type="duplicateValues" dxfId="40" priority="15"/>
  </conditionalFormatting>
  <conditionalFormatting sqref="F5:H7">
    <cfRule type="duplicateValues" dxfId="39" priority="14"/>
  </conditionalFormatting>
  <conditionalFormatting sqref="C5:E7">
    <cfRule type="duplicateValues" dxfId="38" priority="13"/>
  </conditionalFormatting>
  <conditionalFormatting sqref="C8:E10">
    <cfRule type="duplicateValues" dxfId="37" priority="12"/>
  </conditionalFormatting>
  <conditionalFormatting sqref="F8:H10">
    <cfRule type="duplicateValues" dxfId="36" priority="11"/>
  </conditionalFormatting>
  <conditionalFormatting sqref="I8:K10">
    <cfRule type="duplicateValues" dxfId="35" priority="10"/>
  </conditionalFormatting>
  <conditionalFormatting sqref="C2:K2">
    <cfRule type="duplicateValues" dxfId="34" priority="9"/>
  </conditionalFormatting>
  <conditionalFormatting sqref="C3:K3">
    <cfRule type="duplicateValues" dxfId="33" priority="8"/>
  </conditionalFormatting>
  <conditionalFormatting sqref="C4:K4">
    <cfRule type="duplicateValues" dxfId="32" priority="7"/>
  </conditionalFormatting>
  <conditionalFormatting sqref="C5:K5">
    <cfRule type="duplicateValues" dxfId="31" priority="6"/>
  </conditionalFormatting>
  <conditionalFormatting sqref="C6:K6">
    <cfRule type="duplicateValues" dxfId="30" priority="5"/>
  </conditionalFormatting>
  <conditionalFormatting sqref="C7:K7">
    <cfRule type="duplicateValues" dxfId="29" priority="4"/>
  </conditionalFormatting>
  <conditionalFormatting sqref="C8:K8">
    <cfRule type="duplicateValues" dxfId="28" priority="3"/>
  </conditionalFormatting>
  <conditionalFormatting sqref="C9:K9">
    <cfRule type="duplicateValues" dxfId="27" priority="2"/>
  </conditionalFormatting>
  <conditionalFormatting sqref="C10:K10">
    <cfRule type="duplicateValues" dxfId="26" priority="1"/>
  </conditionalFormatting>
  <pageMargins left="0.7" right="0.7" top="0.75" bottom="0.75" header="0.3" footer="0.3"/>
  <pageSetup orientation="portrait" verticalDpi="196" r:id="rId1"/>
  <ignoredErrors>
    <ignoredError sqref="M6 P4"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8F78B-0FB9-48DB-9700-853A45EAED69}">
  <sheetPr codeName="Sheet9">
    <pageSetUpPr autoPageBreaks="0"/>
  </sheetPr>
  <dimension ref="A1:O58"/>
  <sheetViews>
    <sheetView topLeftCell="A2" workbookViewId="0">
      <selection activeCell="I9" sqref="I9"/>
    </sheetView>
  </sheetViews>
  <sheetFormatPr defaultRowHeight="15"/>
  <cols>
    <col min="1" max="2" width="22.85546875" style="104" customWidth="1"/>
    <col min="3" max="3" width="22.85546875" style="106" customWidth="1"/>
    <col min="4" max="5" width="22.85546875" style="104" customWidth="1"/>
    <col min="6" max="6" width="9.140625" style="104"/>
    <col min="7" max="8" width="9.140625" style="104" hidden="1" customWidth="1"/>
    <col min="9" max="16384" width="9.140625" style="104"/>
  </cols>
  <sheetData>
    <row r="1" spans="1:15" ht="9" hidden="1" customHeight="1" thickBot="1">
      <c r="B1" s="105"/>
    </row>
    <row r="2" spans="1:15" ht="15.75" thickBot="1">
      <c r="A2" s="107" t="s">
        <v>102</v>
      </c>
      <c r="B2" s="78" t="s">
        <v>221</v>
      </c>
      <c r="C2" s="107" t="s">
        <v>103</v>
      </c>
      <c r="D2" s="149"/>
      <c r="E2" s="108"/>
      <c r="G2" s="62"/>
      <c r="H2" s="104" t="s">
        <v>331</v>
      </c>
    </row>
    <row r="3" spans="1:15" ht="19.5" thickBot="1">
      <c r="A3" s="109" t="s">
        <v>913</v>
      </c>
      <c r="B3" s="110" t="s">
        <v>897</v>
      </c>
      <c r="C3" s="111" t="s">
        <v>898</v>
      </c>
      <c r="D3" s="112" t="s">
        <v>674</v>
      </c>
      <c r="E3" s="113" t="s">
        <v>677</v>
      </c>
      <c r="G3" s="62"/>
      <c r="H3" s="104" t="s">
        <v>248</v>
      </c>
      <c r="K3" s="490" t="s">
        <v>933</v>
      </c>
      <c r="L3" s="491"/>
      <c r="M3" s="491"/>
      <c r="N3" s="491"/>
      <c r="O3" s="492"/>
    </row>
    <row r="4" spans="1:15" ht="15.75" customHeight="1" thickBot="1">
      <c r="A4" s="272">
        <v>201105495</v>
      </c>
      <c r="B4" s="114" t="s">
        <v>902</v>
      </c>
      <c r="C4" s="347" t="s">
        <v>899</v>
      </c>
      <c r="D4" s="323" t="s">
        <v>675</v>
      </c>
      <c r="E4" s="323" t="s">
        <v>678</v>
      </c>
      <c r="G4" s="62"/>
      <c r="K4" s="480" t="s">
        <v>932</v>
      </c>
      <c r="L4" s="481"/>
      <c r="M4" s="481"/>
      <c r="N4" s="481"/>
      <c r="O4" s="482"/>
    </row>
    <row r="5" spans="1:15" ht="15.75" thickBot="1">
      <c r="A5" s="272" t="s">
        <v>915</v>
      </c>
      <c r="B5" s="114"/>
      <c r="C5" s="114" t="s">
        <v>900</v>
      </c>
      <c r="D5" s="323" t="s">
        <v>676</v>
      </c>
      <c r="E5" s="323" t="s">
        <v>679</v>
      </c>
      <c r="G5" s="62"/>
      <c r="K5" s="480"/>
      <c r="L5" s="481"/>
      <c r="M5" s="481"/>
      <c r="N5" s="481"/>
      <c r="O5" s="482"/>
    </row>
    <row r="6" spans="1:15">
      <c r="A6" s="272" t="s">
        <v>914</v>
      </c>
      <c r="B6" s="114"/>
      <c r="C6" s="114" t="s">
        <v>901</v>
      </c>
      <c r="D6" s="62"/>
      <c r="E6" s="114"/>
      <c r="F6" s="138"/>
      <c r="G6" s="62"/>
      <c r="K6" s="480"/>
      <c r="L6" s="481"/>
      <c r="M6" s="481"/>
      <c r="N6" s="481"/>
      <c r="O6" s="482"/>
    </row>
    <row r="7" spans="1:15">
      <c r="A7" s="272" t="s">
        <v>917</v>
      </c>
      <c r="B7" s="114"/>
      <c r="C7" s="114"/>
      <c r="D7" s="62"/>
      <c r="E7" s="114"/>
      <c r="G7" s="62"/>
      <c r="K7" s="480"/>
      <c r="L7" s="481"/>
      <c r="M7" s="481"/>
      <c r="N7" s="481"/>
      <c r="O7" s="482"/>
    </row>
    <row r="8" spans="1:15">
      <c r="A8" s="272" t="s">
        <v>916</v>
      </c>
      <c r="B8" s="114"/>
      <c r="C8" s="114"/>
      <c r="D8" s="272"/>
      <c r="E8" s="114"/>
      <c r="G8" s="62"/>
      <c r="K8" s="480"/>
      <c r="L8" s="481"/>
      <c r="M8" s="481"/>
      <c r="N8" s="481"/>
      <c r="O8" s="482"/>
    </row>
    <row r="9" spans="1:15">
      <c r="B9" s="114"/>
      <c r="C9" s="114"/>
      <c r="D9" s="272"/>
      <c r="E9" s="114"/>
      <c r="G9" s="62"/>
      <c r="I9" s="150"/>
      <c r="K9" s="480"/>
      <c r="L9" s="481"/>
      <c r="M9" s="481"/>
      <c r="N9" s="481"/>
      <c r="O9" s="482"/>
    </row>
    <row r="10" spans="1:15">
      <c r="A10" s="62"/>
      <c r="B10" s="114"/>
      <c r="C10" s="114"/>
      <c r="D10" s="114"/>
      <c r="E10" s="114"/>
      <c r="G10" s="62"/>
      <c r="K10" s="480"/>
      <c r="L10" s="481"/>
      <c r="M10" s="481"/>
      <c r="N10" s="481"/>
      <c r="O10" s="482"/>
    </row>
    <row r="11" spans="1:15">
      <c r="A11" s="62"/>
      <c r="B11" s="114"/>
      <c r="C11" s="114"/>
      <c r="D11" s="114"/>
      <c r="E11" s="114"/>
      <c r="G11" s="62"/>
      <c r="K11" s="480"/>
      <c r="L11" s="481"/>
      <c r="M11" s="481"/>
      <c r="N11" s="481"/>
      <c r="O11" s="482"/>
    </row>
    <row r="12" spans="1:15">
      <c r="A12" s="272"/>
      <c r="B12" s="114"/>
      <c r="C12" s="114"/>
      <c r="D12" s="114"/>
      <c r="E12" s="114"/>
      <c r="K12" s="480"/>
      <c r="L12" s="481"/>
      <c r="M12" s="481"/>
      <c r="N12" s="481"/>
      <c r="O12" s="482"/>
    </row>
    <row r="13" spans="1:15">
      <c r="A13" s="272"/>
      <c r="B13" s="114"/>
      <c r="C13" s="114"/>
      <c r="D13" s="114"/>
      <c r="E13" s="114"/>
    </row>
    <row r="14" spans="1:15" ht="12.75" customHeight="1">
      <c r="A14" s="62"/>
      <c r="B14" s="114"/>
      <c r="C14" s="114"/>
      <c r="D14" s="114"/>
      <c r="E14" s="114"/>
    </row>
    <row r="15" spans="1:15">
      <c r="A15" s="62"/>
      <c r="B15" s="114"/>
      <c r="C15" s="114"/>
      <c r="D15" s="114"/>
      <c r="E15" s="114"/>
    </row>
    <row r="16" spans="1:15">
      <c r="A16" s="62"/>
      <c r="B16" s="114"/>
      <c r="C16" s="114"/>
      <c r="D16" s="114"/>
      <c r="E16" s="114"/>
    </row>
    <row r="17" spans="1:6">
      <c r="A17" s="62"/>
      <c r="B17" s="114"/>
      <c r="C17" s="114"/>
      <c r="D17" s="114"/>
      <c r="E17" s="114"/>
    </row>
    <row r="18" spans="1:6">
      <c r="A18" s="62"/>
      <c r="B18" s="114"/>
      <c r="C18" s="114"/>
      <c r="D18" s="114"/>
      <c r="E18" s="114"/>
    </row>
    <row r="19" spans="1:6">
      <c r="A19" s="62"/>
      <c r="B19" s="114"/>
      <c r="C19" s="114"/>
      <c r="D19" s="114"/>
      <c r="E19" s="114"/>
    </row>
    <row r="20" spans="1:6">
      <c r="A20" s="62"/>
      <c r="B20" s="114"/>
      <c r="C20" s="114"/>
      <c r="D20" s="114"/>
      <c r="E20" s="114"/>
    </row>
    <row r="21" spans="1:6">
      <c r="A21" s="62"/>
      <c r="B21" s="114"/>
      <c r="C21" s="114"/>
      <c r="D21" s="114"/>
      <c r="E21" s="114"/>
    </row>
    <row r="22" spans="1:6">
      <c r="A22" s="62"/>
      <c r="B22" s="114"/>
      <c r="C22" s="114"/>
      <c r="D22" s="114"/>
      <c r="E22" s="114"/>
    </row>
    <row r="23" spans="1:6">
      <c r="A23" s="62"/>
      <c r="B23" s="114"/>
      <c r="C23" s="114"/>
      <c r="D23" s="114"/>
      <c r="E23" s="114"/>
    </row>
    <row r="24" spans="1:6">
      <c r="A24" s="62"/>
      <c r="B24" s="114"/>
      <c r="C24" s="78"/>
      <c r="D24" s="114"/>
      <c r="E24" s="114"/>
    </row>
    <row r="25" spans="1:6">
      <c r="A25" s="62"/>
      <c r="B25" s="114"/>
      <c r="C25" s="114"/>
      <c r="D25" s="114"/>
      <c r="E25" s="114"/>
    </row>
    <row r="26" spans="1:6">
      <c r="A26" s="62"/>
      <c r="B26" s="114"/>
      <c r="C26" s="114"/>
      <c r="D26" s="114"/>
      <c r="E26" s="114"/>
    </row>
    <row r="27" spans="1:6">
      <c r="A27" s="62"/>
      <c r="B27" s="114"/>
      <c r="C27" s="114"/>
      <c r="D27" s="114"/>
      <c r="E27" s="114"/>
    </row>
    <row r="28" spans="1:6">
      <c r="A28" s="62"/>
      <c r="B28" s="114"/>
      <c r="C28" s="114"/>
      <c r="D28" s="114"/>
      <c r="E28" s="114"/>
      <c r="F28" s="104" t="s">
        <v>6</v>
      </c>
    </row>
    <row r="29" spans="1:6">
      <c r="A29" s="62"/>
      <c r="B29" s="114"/>
      <c r="C29" s="114"/>
      <c r="D29" s="114"/>
      <c r="E29" s="114"/>
      <c r="F29" s="104" t="s">
        <v>6</v>
      </c>
    </row>
    <row r="30" spans="1:6">
      <c r="A30" s="114"/>
      <c r="B30" s="114"/>
      <c r="C30" s="114"/>
      <c r="D30" s="114"/>
      <c r="E30" s="114"/>
    </row>
    <row r="31" spans="1:6">
      <c r="A31" s="114"/>
      <c r="B31" s="114"/>
      <c r="C31" s="114"/>
      <c r="D31" s="114"/>
      <c r="E31" s="114"/>
    </row>
    <row r="32" spans="1:6">
      <c r="A32" s="114"/>
      <c r="B32" s="114"/>
      <c r="C32" s="114"/>
      <c r="D32" s="139"/>
      <c r="E32" s="139"/>
    </row>
    <row r="33" spans="1:6">
      <c r="A33" s="115"/>
      <c r="B33" s="115"/>
      <c r="C33" s="115"/>
      <c r="D33" s="140"/>
      <c r="E33" s="140"/>
    </row>
    <row r="35" spans="1:6" hidden="1"/>
    <row r="36" spans="1:6">
      <c r="A36" s="121" t="str" cm="1">
        <f t="array" ref="A36">_xlfn.TEXTJOIN(", ",TRUE,SUBSTITUTE(A4:A33," ",""))</f>
        <v>201105495, 2018A2330200010, 2018A2330200011, 2021A2330203560, 2018A2330200013</v>
      </c>
      <c r="B36" s="122" t="str" cm="1">
        <f t="array" ref="B36">_xlfn.TEXTJOIN(", ",TRUE,SUBSTITUTE(B4:B33," ",""))</f>
        <v>CP-23-CR-0000016-2020</v>
      </c>
      <c r="C36" s="123" t="str" cm="1">
        <f t="array" ref="C36">_xlfn.TEXTJOIN(", ",TRUE,SUBSTITUTE(C4:C33," ",""))</f>
        <v>CP-46-CR-0007819-2016, CP-15-CR-0003587-2016, CP-15-CR-0003441-2016</v>
      </c>
      <c r="D36" s="124" t="str" cm="1">
        <f t="array" ref="D36">_xlfn.TEXTJOIN(", ",TRUE,SUBSTITUTE(D4:D33," ",""))</f>
        <v>CP-65-CR-0002810-2018, CP-65-CR-0004450-2017</v>
      </c>
      <c r="E36" s="125" t="str" cm="1">
        <f t="array" ref="E36">_xlfn.TEXTJOIN(", ",TRUE,SUBSTITUTE(E4:E33," ",""))</f>
        <v>CP-02-CR-0000745-2020, CP-02-CR-0000743-2020</v>
      </c>
      <c r="F36" s="104" t="s">
        <v>6</v>
      </c>
    </row>
    <row r="37" spans="1:6">
      <c r="A37" s="126" t="str">
        <f>_xlfn.CONCAT(H2,A36,H3)</f>
        <v>Results found on the Statewide Criminal Database search show possible case(s). Please confirm if case(s) 201105495, 2018A2330200010, 2018A2330200011, 2021A2330203560, 2018A2330200013 are available/not available in the standard search.</v>
      </c>
      <c r="B37" s="127" t="str">
        <f>_xlfn.CONCAT(H2,B36,H3)</f>
        <v>Results found on the Statewide Criminal Database search show possible case(s). Please confirm if case(s) CP-23-CR-0000016-2020 are available/not available in the standard search.</v>
      </c>
      <c r="C37" s="128" t="str">
        <f>_xlfn.CONCAT(H2,C36,H3)</f>
        <v>Results found on the Statewide Criminal Database search show possible case(s). Please confirm if case(s) CP-46-CR-0007819-2016, CP-15-CR-0003587-2016, CP-15-CR-0003441-2016 are available/not available in the standard search.</v>
      </c>
      <c r="D37" s="129" t="str">
        <f>_xlfn.CONCAT(H2,D36,H3)</f>
        <v>Results found on the Statewide Criminal Database search show possible case(s). Please confirm if case(s) CP-65-CR-0002810-2018, CP-65-CR-0004450-2017 are available/not available in the standard search.</v>
      </c>
      <c r="E37" s="130" t="str">
        <f>_xlfn.CONCAT(H2,E36,H3)</f>
        <v>Results found on the Statewide Criminal Database search show possible case(s). Please confirm if case(s) CP-02-CR-0000745-2020, CP-02-CR-0000743-2020 are available/not available in the standard search.</v>
      </c>
      <c r="F37" s="104" t="s">
        <v>6</v>
      </c>
    </row>
    <row r="45" spans="1:6">
      <c r="A45" s="106"/>
      <c r="C45" s="104"/>
    </row>
    <row r="49" spans="1:1">
      <c r="A49" s="106"/>
    </row>
    <row r="53" spans="1:1">
      <c r="A53" s="104" t="s">
        <v>109</v>
      </c>
    </row>
    <row r="54" spans="1:1">
      <c r="A54" s="104" t="s">
        <v>107</v>
      </c>
    </row>
    <row r="55" spans="1:1">
      <c r="A55" s="104" t="s">
        <v>108</v>
      </c>
    </row>
    <row r="58" spans="1:1">
      <c r="A58" s="104" t="s">
        <v>106</v>
      </c>
    </row>
  </sheetData>
  <sortState xmlns:xlrd2="http://schemas.microsoft.com/office/spreadsheetml/2017/richdata2" ref="G2:G58">
    <sortCondition ref="G2"/>
  </sortState>
  <mergeCells count="2">
    <mergeCell ref="K3:O3"/>
    <mergeCell ref="K4:O12"/>
  </mergeCells>
  <phoneticPr fontId="24" type="noConversion"/>
  <conditionalFormatting sqref="C25">
    <cfRule type="duplicateValues" dxfId="25" priority="36"/>
  </conditionalFormatting>
  <conditionalFormatting sqref="D24:D26">
    <cfRule type="duplicateValues" dxfId="24" priority="35"/>
  </conditionalFormatting>
  <conditionalFormatting sqref="A30:E33 B25:D25 D24 B24:B26 E6:E30 B26:E29">
    <cfRule type="duplicateValues" dxfId="23" priority="34"/>
  </conditionalFormatting>
  <conditionalFormatting sqref="B24:B25">
    <cfRule type="duplicateValues" dxfId="22" priority="603"/>
  </conditionalFormatting>
  <conditionalFormatting sqref="D10 C5:C23 B18:D23 C11:D17 B4:B20">
    <cfRule type="duplicateValues" dxfId="21" priority="2"/>
  </conditionalFormatting>
  <conditionalFormatting sqref="A12:A29">
    <cfRule type="duplicateValues" dxfId="20" priority="1"/>
  </conditionalFormatting>
  <pageMargins left="0.7" right="0.7" top="0.75" bottom="0.75" header="0.3" footer="0.3"/>
  <pageSetup orientation="portrait"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C2545-0F2F-45DE-B816-3501C743683D}">
  <sheetPr codeName="Sheet6"/>
  <dimension ref="A1:AB57"/>
  <sheetViews>
    <sheetView topLeftCell="A20" zoomScaleNormal="100" workbookViewId="0">
      <selection activeCell="H55" sqref="H55"/>
    </sheetView>
  </sheetViews>
  <sheetFormatPr defaultRowHeight="15"/>
  <cols>
    <col min="1" max="1" width="5" customWidth="1"/>
    <col min="2" max="2" width="30.7109375" customWidth="1"/>
    <col min="3" max="3" width="4.5703125" customWidth="1"/>
    <col min="4" max="6" width="0" style="11" hidden="1" customWidth="1"/>
    <col min="7" max="7" width="9" style="11" hidden="1" customWidth="1"/>
    <col min="8" max="8" width="3.42578125" customWidth="1"/>
    <col min="9" max="9" width="5.5703125" customWidth="1"/>
    <col min="10" max="10" width="9.140625" style="16"/>
    <col min="11" max="13" width="9.140625" style="131" customWidth="1"/>
    <col min="14" max="14" width="9.140625" style="16"/>
    <col min="20" max="28" width="9.140625" style="16"/>
  </cols>
  <sheetData>
    <row r="1" spans="1:14" hidden="1"/>
    <row r="2" spans="1:14" hidden="1"/>
    <row r="3" spans="1:14" hidden="1"/>
    <row r="4" spans="1:14" hidden="1">
      <c r="A4" s="377" t="s">
        <v>266</v>
      </c>
      <c r="B4" s="378"/>
      <c r="C4" s="379"/>
      <c r="D4" s="5"/>
      <c r="E4" s="5" t="s">
        <v>270</v>
      </c>
      <c r="F4" s="5" t="s">
        <v>271</v>
      </c>
      <c r="G4" s="5" t="s">
        <v>272</v>
      </c>
      <c r="I4" s="377" t="s">
        <v>268</v>
      </c>
      <c r="J4" s="378"/>
      <c r="K4" s="378"/>
      <c r="L4" s="378"/>
      <c r="M4" s="378"/>
      <c r="N4" s="379"/>
    </row>
    <row r="5" spans="1:14" ht="15" hidden="1" customHeight="1">
      <c r="A5" s="416">
        <v>34177</v>
      </c>
      <c r="B5" s="417"/>
      <c r="C5" s="418"/>
      <c r="D5" s="5"/>
      <c r="E5" s="5">
        <f>DAY(A5)</f>
        <v>27</v>
      </c>
      <c r="F5" s="5">
        <f>MONTH(A5)</f>
        <v>7</v>
      </c>
      <c r="G5" s="5">
        <f>YEAR(A5)</f>
        <v>1993</v>
      </c>
      <c r="I5" s="425" t="s">
        <v>273</v>
      </c>
      <c r="J5" s="426"/>
      <c r="K5" s="426"/>
      <c r="L5" s="426"/>
      <c r="M5" s="426"/>
      <c r="N5" s="427"/>
    </row>
    <row r="6" spans="1:14" ht="15" hidden="1" customHeight="1">
      <c r="A6" s="419"/>
      <c r="B6" s="420"/>
      <c r="C6" s="421"/>
      <c r="D6" s="5"/>
      <c r="E6" s="5"/>
      <c r="F6" s="5"/>
      <c r="G6" s="5"/>
      <c r="I6" s="428"/>
      <c r="J6" s="429"/>
      <c r="K6" s="429"/>
      <c r="L6" s="429"/>
      <c r="M6" s="429"/>
      <c r="N6" s="430"/>
    </row>
    <row r="7" spans="1:14" ht="15" hidden="1" customHeight="1">
      <c r="A7" s="422"/>
      <c r="B7" s="423"/>
      <c r="C7" s="424"/>
      <c r="D7" s="5"/>
      <c r="E7" s="5"/>
      <c r="F7" s="5"/>
      <c r="G7" s="5"/>
      <c r="I7" s="431"/>
      <c r="J7" s="432"/>
      <c r="K7" s="432"/>
      <c r="L7" s="432"/>
      <c r="M7" s="432"/>
      <c r="N7" s="433"/>
    </row>
    <row r="8" spans="1:14" hidden="1"/>
    <row r="9" spans="1:14" hidden="1">
      <c r="A9" s="377" t="s">
        <v>267</v>
      </c>
      <c r="B9" s="378"/>
      <c r="C9" s="379"/>
      <c r="D9" s="5"/>
      <c r="E9" s="5"/>
      <c r="F9" s="5"/>
      <c r="G9" s="5"/>
      <c r="I9" s="377" t="s">
        <v>269</v>
      </c>
      <c r="J9" s="378"/>
      <c r="K9" s="378"/>
      <c r="L9" s="378"/>
      <c r="M9" s="378"/>
      <c r="N9" s="379"/>
    </row>
    <row r="10" spans="1:14" hidden="1">
      <c r="A10" s="425" t="str">
        <f>_xlfn.CONCAT(YEAR(A5),MONTH(A5),DAY(A5))</f>
        <v>1993727</v>
      </c>
      <c r="B10" s="426"/>
      <c r="C10" s="427"/>
      <c r="D10" s="5"/>
      <c r="E10" s="5"/>
      <c r="F10" s="5"/>
      <c r="G10" s="5"/>
      <c r="I10" s="425" t="str">
        <f>SUBSTITUTE(I5,"-","")</f>
        <v>601332022</v>
      </c>
      <c r="J10" s="426"/>
      <c r="K10" s="426"/>
      <c r="L10" s="426"/>
      <c r="M10" s="426"/>
      <c r="N10" s="427"/>
    </row>
    <row r="11" spans="1:14" hidden="1">
      <c r="A11" s="428"/>
      <c r="B11" s="429"/>
      <c r="C11" s="430"/>
      <c r="D11" s="5"/>
      <c r="E11" s="5"/>
      <c r="F11" s="5"/>
      <c r="G11" s="5"/>
      <c r="I11" s="428"/>
      <c r="J11" s="429"/>
      <c r="K11" s="429"/>
      <c r="L11" s="429"/>
      <c r="M11" s="429"/>
      <c r="N11" s="430"/>
    </row>
    <row r="12" spans="1:14" hidden="1">
      <c r="A12" s="431"/>
      <c r="B12" s="432"/>
      <c r="C12" s="433"/>
      <c r="D12" s="5"/>
      <c r="E12" s="5"/>
      <c r="F12" s="5"/>
      <c r="G12" s="5"/>
      <c r="I12" s="431"/>
      <c r="J12" s="432"/>
      <c r="K12" s="432"/>
      <c r="L12" s="432"/>
      <c r="M12" s="432"/>
      <c r="N12" s="433"/>
    </row>
    <row r="13" spans="1:14" hidden="1"/>
    <row r="14" spans="1:14" hidden="1"/>
    <row r="15" spans="1:14" hidden="1"/>
    <row r="16" spans="1:14" hidden="1"/>
    <row r="17" spans="1:19" hidden="1">
      <c r="A17" s="7"/>
    </row>
    <row r="18" spans="1:19" hidden="1"/>
    <row r="19" spans="1:19" hidden="1"/>
    <row r="20" spans="1:19" s="16" customFormat="1" ht="15.75" thickBot="1">
      <c r="K20" s="131"/>
      <c r="L20" s="131"/>
      <c r="M20" s="131"/>
    </row>
    <row r="21" spans="1:19">
      <c r="A21" s="442" t="s">
        <v>266</v>
      </c>
      <c r="B21" s="443"/>
      <c r="C21" s="443"/>
      <c r="D21" s="443"/>
      <c r="E21" s="443"/>
      <c r="F21" s="443"/>
      <c r="G21" s="443"/>
      <c r="H21" s="443"/>
      <c r="I21" s="444"/>
      <c r="O21" s="449" t="s">
        <v>268</v>
      </c>
      <c r="P21" s="450"/>
      <c r="Q21" s="450"/>
      <c r="R21" s="450"/>
      <c r="S21" s="451"/>
    </row>
    <row r="22" spans="1:19" ht="15.75" thickBot="1">
      <c r="A22" s="445"/>
      <c r="B22" s="446"/>
      <c r="C22" s="446"/>
      <c r="D22" s="446"/>
      <c r="E22" s="446"/>
      <c r="F22" s="446"/>
      <c r="G22" s="446"/>
      <c r="H22" s="446"/>
      <c r="I22" s="447"/>
      <c r="O22" s="452"/>
      <c r="P22" s="453"/>
      <c r="Q22" s="453"/>
      <c r="R22" s="453"/>
      <c r="S22" s="454"/>
    </row>
    <row r="23" spans="1:19" ht="15" customHeight="1">
      <c r="A23" s="448">
        <v>35018</v>
      </c>
      <c r="B23" s="448"/>
      <c r="C23" s="448"/>
      <c r="D23" s="448"/>
      <c r="E23" s="448"/>
      <c r="F23" s="448"/>
      <c r="G23" s="448"/>
      <c r="H23" s="448"/>
      <c r="I23" s="448"/>
      <c r="O23" s="434" t="s">
        <v>281</v>
      </c>
      <c r="P23" s="434"/>
      <c r="Q23" s="434"/>
      <c r="R23" s="434"/>
      <c r="S23" s="434"/>
    </row>
    <row r="24" spans="1:19" ht="15" customHeight="1">
      <c r="A24" s="448"/>
      <c r="B24" s="448"/>
      <c r="C24" s="448"/>
      <c r="D24" s="448"/>
      <c r="E24" s="448"/>
      <c r="F24" s="448"/>
      <c r="G24" s="448"/>
      <c r="H24" s="448"/>
      <c r="I24" s="448"/>
      <c r="O24" s="434"/>
      <c r="P24" s="434"/>
      <c r="Q24" s="434"/>
      <c r="R24" s="434"/>
      <c r="S24" s="434"/>
    </row>
    <row r="25" spans="1:19" ht="15" customHeight="1">
      <c r="A25" s="448"/>
      <c r="B25" s="448"/>
      <c r="C25" s="448"/>
      <c r="D25" s="448"/>
      <c r="E25" s="448"/>
      <c r="F25" s="448"/>
      <c r="G25" s="448"/>
      <c r="H25" s="448"/>
      <c r="I25" s="448"/>
      <c r="O25" s="434"/>
      <c r="P25" s="434"/>
      <c r="Q25" s="434"/>
      <c r="R25" s="434"/>
      <c r="S25" s="434"/>
    </row>
    <row r="26" spans="1:19" ht="15" customHeight="1">
      <c r="A26" s="448"/>
      <c r="B26" s="448"/>
      <c r="C26" s="448"/>
      <c r="D26" s="448"/>
      <c r="E26" s="448"/>
      <c r="F26" s="448"/>
      <c r="G26" s="448"/>
      <c r="H26" s="448"/>
      <c r="I26" s="448"/>
      <c r="O26" s="434"/>
      <c r="P26" s="434"/>
      <c r="Q26" s="434"/>
      <c r="R26" s="434"/>
      <c r="S26" s="434"/>
    </row>
    <row r="27" spans="1:19" ht="15" customHeight="1">
      <c r="A27" s="448"/>
      <c r="B27" s="448"/>
      <c r="C27" s="448"/>
      <c r="D27" s="448"/>
      <c r="E27" s="448"/>
      <c r="F27" s="448"/>
      <c r="G27" s="448"/>
      <c r="H27" s="448"/>
      <c r="I27" s="448"/>
      <c r="O27" s="434"/>
      <c r="P27" s="434"/>
      <c r="Q27" s="434"/>
      <c r="R27" s="434"/>
      <c r="S27" s="434"/>
    </row>
    <row r="28" spans="1:19" ht="15" customHeight="1">
      <c r="A28" s="448"/>
      <c r="B28" s="448"/>
      <c r="C28" s="448"/>
      <c r="D28" s="448"/>
      <c r="E28" s="448"/>
      <c r="F28" s="448"/>
      <c r="G28" s="448"/>
      <c r="H28" s="448"/>
      <c r="I28" s="448"/>
      <c r="O28" s="434"/>
      <c r="P28" s="434"/>
      <c r="Q28" s="434"/>
      <c r="R28" s="434"/>
      <c r="S28" s="434"/>
    </row>
    <row r="29" spans="1:19" s="16" customFormat="1">
      <c r="K29" s="131"/>
      <c r="L29" s="131"/>
      <c r="M29" s="131"/>
    </row>
    <row r="30" spans="1:19" s="16" customFormat="1">
      <c r="K30" s="131"/>
      <c r="L30" s="131"/>
      <c r="M30" s="131"/>
    </row>
    <row r="31" spans="1:19" s="16" customFormat="1" ht="15.75" thickBot="1">
      <c r="K31" s="131">
        <f>YEAR(A23)</f>
        <v>1995</v>
      </c>
      <c r="L31" s="132">
        <f>MONTH(A23)</f>
        <v>11</v>
      </c>
      <c r="M31" s="132">
        <f>DAY(A23)</f>
        <v>15</v>
      </c>
    </row>
    <row r="32" spans="1:19">
      <c r="A32" s="436" t="s">
        <v>274</v>
      </c>
      <c r="B32" s="437"/>
      <c r="C32" s="437"/>
      <c r="D32" s="437"/>
      <c r="E32" s="437"/>
      <c r="F32" s="437"/>
      <c r="G32" s="437"/>
      <c r="H32" s="437"/>
      <c r="I32" s="438"/>
      <c r="O32" s="455" t="s">
        <v>269</v>
      </c>
      <c r="P32" s="456"/>
      <c r="Q32" s="456"/>
      <c r="R32" s="456"/>
      <c r="S32" s="457"/>
    </row>
    <row r="33" spans="1:19" ht="15.75" thickBot="1">
      <c r="A33" s="439"/>
      <c r="B33" s="440"/>
      <c r="C33" s="440"/>
      <c r="D33" s="440"/>
      <c r="E33" s="440"/>
      <c r="F33" s="440"/>
      <c r="G33" s="440"/>
      <c r="H33" s="440"/>
      <c r="I33" s="441"/>
      <c r="O33" s="458"/>
      <c r="P33" s="459"/>
      <c r="Q33" s="459"/>
      <c r="R33" s="459"/>
      <c r="S33" s="460"/>
    </row>
    <row r="34" spans="1:19" ht="15" customHeight="1">
      <c r="A34" s="435" t="str">
        <f>_xlfn.CONCAT(TEXT(K31,"00"),TEXT(L31,"00"),TEXT(M31,"00"))</f>
        <v>19951115</v>
      </c>
      <c r="B34" s="435"/>
      <c r="C34" s="435"/>
      <c r="D34" s="435"/>
      <c r="E34" s="435"/>
      <c r="F34" s="435"/>
      <c r="G34" s="435"/>
      <c r="H34" s="435"/>
      <c r="I34" s="435"/>
      <c r="O34" s="434" t="str">
        <f>SUBSTITUTE(O23,"-","")</f>
        <v>411796444</v>
      </c>
      <c r="P34" s="434"/>
      <c r="Q34" s="434"/>
      <c r="R34" s="434"/>
      <c r="S34" s="434"/>
    </row>
    <row r="35" spans="1:19" ht="15" customHeight="1">
      <c r="A35" s="435"/>
      <c r="B35" s="435"/>
      <c r="C35" s="435"/>
      <c r="D35" s="435"/>
      <c r="E35" s="435"/>
      <c r="F35" s="435"/>
      <c r="G35" s="435"/>
      <c r="H35" s="435"/>
      <c r="I35" s="435"/>
      <c r="O35" s="434"/>
      <c r="P35" s="434"/>
      <c r="Q35" s="434"/>
      <c r="R35" s="434"/>
      <c r="S35" s="434"/>
    </row>
    <row r="36" spans="1:19" ht="15" customHeight="1">
      <c r="A36" s="435"/>
      <c r="B36" s="435"/>
      <c r="C36" s="435"/>
      <c r="D36" s="435"/>
      <c r="E36" s="435"/>
      <c r="F36" s="435"/>
      <c r="G36" s="435"/>
      <c r="H36" s="435"/>
      <c r="I36" s="435"/>
      <c r="O36" s="434"/>
      <c r="P36" s="434"/>
      <c r="Q36" s="434"/>
      <c r="R36" s="434"/>
      <c r="S36" s="434"/>
    </row>
    <row r="37" spans="1:19" ht="15" customHeight="1">
      <c r="A37" s="435"/>
      <c r="B37" s="435"/>
      <c r="C37" s="435"/>
      <c r="D37" s="435"/>
      <c r="E37" s="435"/>
      <c r="F37" s="435"/>
      <c r="G37" s="435"/>
      <c r="H37" s="435"/>
      <c r="I37" s="435"/>
      <c r="O37" s="434"/>
      <c r="P37" s="434"/>
      <c r="Q37" s="434"/>
      <c r="R37" s="434"/>
      <c r="S37" s="434"/>
    </row>
    <row r="38" spans="1:19" ht="15" customHeight="1">
      <c r="A38" s="435"/>
      <c r="B38" s="435"/>
      <c r="C38" s="435"/>
      <c r="D38" s="435"/>
      <c r="E38" s="435"/>
      <c r="F38" s="435"/>
      <c r="G38" s="435"/>
      <c r="H38" s="435"/>
      <c r="I38" s="435"/>
      <c r="O38" s="434"/>
      <c r="P38" s="434"/>
      <c r="Q38" s="434"/>
      <c r="R38" s="434"/>
      <c r="S38" s="434"/>
    </row>
    <row r="39" spans="1:19" ht="15" customHeight="1">
      <c r="A39" s="435"/>
      <c r="B39" s="435"/>
      <c r="C39" s="435"/>
      <c r="D39" s="435"/>
      <c r="E39" s="435"/>
      <c r="F39" s="435"/>
      <c r="G39" s="435"/>
      <c r="H39" s="435"/>
      <c r="I39" s="435"/>
      <c r="O39" s="434"/>
      <c r="P39" s="434"/>
      <c r="Q39" s="434"/>
      <c r="R39" s="434"/>
      <c r="S39" s="434"/>
    </row>
    <row r="40" spans="1:19" s="16" customFormat="1" ht="15.75" thickBot="1">
      <c r="K40" s="131"/>
      <c r="L40" s="131"/>
      <c r="M40" s="131"/>
    </row>
    <row r="41" spans="1:19" s="16" customFormat="1" ht="15" customHeight="1" thickBot="1">
      <c r="B41" s="134" t="s">
        <v>275</v>
      </c>
      <c r="K41" s="131"/>
      <c r="L41" s="131"/>
      <c r="M41" s="131"/>
    </row>
    <row r="42" spans="1:19" s="16" customFormat="1" ht="50.25" customHeight="1">
      <c r="B42" s="133" t="str">
        <f>A34</f>
        <v>19951115</v>
      </c>
      <c r="K42" s="131"/>
      <c r="L42" s="131"/>
      <c r="M42" s="131"/>
    </row>
    <row r="43" spans="1:19" s="16" customFormat="1">
      <c r="K43" s="131"/>
      <c r="L43" s="131"/>
      <c r="M43" s="131"/>
    </row>
    <row r="44" spans="1:19" s="16" customFormat="1">
      <c r="K44" s="131"/>
      <c r="L44" s="131"/>
      <c r="M44" s="131"/>
    </row>
    <row r="45" spans="1:19" s="16" customFormat="1">
      <c r="K45" s="131"/>
      <c r="L45" s="131"/>
      <c r="M45" s="131"/>
    </row>
    <row r="46" spans="1:19" s="16" customFormat="1">
      <c r="K46" s="131"/>
      <c r="L46" s="131"/>
      <c r="M46" s="131"/>
    </row>
    <row r="47" spans="1:19" s="16" customFormat="1">
      <c r="K47" s="131"/>
      <c r="L47" s="131"/>
      <c r="M47" s="131"/>
    </row>
    <row r="48" spans="1:19" s="16" customFormat="1">
      <c r="K48" s="131"/>
      <c r="L48" s="131"/>
      <c r="M48" s="131"/>
    </row>
    <row r="49" spans="11:13" s="16" customFormat="1">
      <c r="K49" s="131"/>
      <c r="L49" s="131"/>
      <c r="M49" s="131"/>
    </row>
    <row r="50" spans="11:13" s="16" customFormat="1">
      <c r="K50" s="131"/>
      <c r="L50" s="131"/>
      <c r="M50" s="131"/>
    </row>
    <row r="51" spans="11:13" s="16" customFormat="1">
      <c r="K51" s="131"/>
      <c r="L51" s="131"/>
      <c r="M51" s="131"/>
    </row>
    <row r="52" spans="11:13" s="16" customFormat="1">
      <c r="K52" s="131"/>
      <c r="L52" s="131"/>
      <c r="M52" s="131"/>
    </row>
    <row r="53" spans="11:13" s="16" customFormat="1">
      <c r="K53" s="131"/>
      <c r="L53" s="131"/>
      <c r="M53" s="131"/>
    </row>
    <row r="54" spans="11:13" s="16" customFormat="1">
      <c r="K54" s="131"/>
      <c r="L54" s="131"/>
      <c r="M54" s="131"/>
    </row>
    <row r="55" spans="11:13" s="16" customFormat="1">
      <c r="K55" s="131"/>
      <c r="L55" s="131"/>
      <c r="M55" s="131"/>
    </row>
    <row r="56" spans="11:13" s="16" customFormat="1">
      <c r="K56" s="131"/>
      <c r="L56" s="131"/>
      <c r="M56" s="131"/>
    </row>
    <row r="57" spans="11:13" s="16" customFormat="1">
      <c r="K57" s="131"/>
      <c r="L57" s="131"/>
      <c r="M57" s="131"/>
    </row>
  </sheetData>
  <mergeCells count="16">
    <mergeCell ref="O34:S39"/>
    <mergeCell ref="A34:I39"/>
    <mergeCell ref="A32:I33"/>
    <mergeCell ref="A21:I22"/>
    <mergeCell ref="A23:I28"/>
    <mergeCell ref="O21:S22"/>
    <mergeCell ref="O23:S28"/>
    <mergeCell ref="O32:S33"/>
    <mergeCell ref="A5:C7"/>
    <mergeCell ref="A4:C4"/>
    <mergeCell ref="A10:C12"/>
    <mergeCell ref="A9:C9"/>
    <mergeCell ref="I4:N4"/>
    <mergeCell ref="I9:N9"/>
    <mergeCell ref="I5:N7"/>
    <mergeCell ref="I10:N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886D4-E850-4116-BC82-8F2B73B4E2F8}">
  <sheetPr codeName="Sheet10"/>
  <dimension ref="A1:L37"/>
  <sheetViews>
    <sheetView topLeftCell="C13" zoomScaleNormal="100" workbookViewId="0">
      <selection activeCell="K22" sqref="K22"/>
    </sheetView>
  </sheetViews>
  <sheetFormatPr defaultRowHeight="15"/>
  <cols>
    <col min="1" max="1" width="9.7109375" hidden="1" customWidth="1"/>
    <col min="2" max="2" width="21.42578125" customWidth="1"/>
    <col min="3" max="3" width="32" customWidth="1"/>
    <col min="4" max="4" width="11.42578125" style="11" customWidth="1"/>
    <col min="5" max="5" width="16.5703125" customWidth="1"/>
    <col min="6" max="6" width="13.140625" hidden="1" customWidth="1"/>
    <col min="7" max="7" width="16.7109375" hidden="1" customWidth="1"/>
    <col min="9" max="9" width="17" customWidth="1"/>
    <col min="10" max="10" width="24.85546875" customWidth="1"/>
    <col min="11" max="11" width="19" customWidth="1"/>
  </cols>
  <sheetData>
    <row r="1" spans="1:11" ht="15.75" thickBot="1">
      <c r="A1" t="s">
        <v>112</v>
      </c>
      <c r="B1" s="83" t="s">
        <v>113</v>
      </c>
      <c r="C1" s="84" t="s">
        <v>114</v>
      </c>
      <c r="D1" s="84" t="s">
        <v>117</v>
      </c>
      <c r="E1" s="84" t="s">
        <v>116</v>
      </c>
      <c r="F1" s="84" t="s">
        <v>119</v>
      </c>
      <c r="G1" s="84" t="s">
        <v>120</v>
      </c>
      <c r="H1" s="84" t="s">
        <v>123</v>
      </c>
      <c r="I1" s="91" t="s">
        <v>130</v>
      </c>
      <c r="J1" s="91" t="s">
        <v>131</v>
      </c>
      <c r="K1" s="87" t="s">
        <v>160</v>
      </c>
    </row>
    <row r="2" spans="1:11" s="11" customFormat="1">
      <c r="B2" s="97" t="s">
        <v>166</v>
      </c>
      <c r="C2" s="97"/>
      <c r="D2" s="97"/>
      <c r="E2" s="97"/>
      <c r="F2" s="97"/>
      <c r="G2" s="97"/>
      <c r="H2" s="97"/>
      <c r="I2" s="98"/>
      <c r="J2" s="98"/>
      <c r="K2" s="98"/>
    </row>
    <row r="3" spans="1:11" ht="60">
      <c r="A3" s="7">
        <f ca="1">TODAY()</f>
        <v>44826</v>
      </c>
      <c r="B3" s="82">
        <v>44613.50271990741</v>
      </c>
      <c r="C3" s="88" t="s">
        <v>115</v>
      </c>
      <c r="D3" s="85" t="s">
        <v>118</v>
      </c>
      <c r="E3" s="86" t="s">
        <v>122</v>
      </c>
      <c r="F3" s="86" t="s">
        <v>121</v>
      </c>
      <c r="G3" s="86" t="s">
        <v>121</v>
      </c>
      <c r="H3" s="86" t="s">
        <v>124</v>
      </c>
      <c r="I3" s="85" t="s">
        <v>132</v>
      </c>
      <c r="J3" s="86" t="s">
        <v>133</v>
      </c>
    </row>
    <row r="4" spans="1:11" ht="60">
      <c r="B4" s="82">
        <v>44613.54745416667</v>
      </c>
      <c r="C4" s="88" t="s">
        <v>126</v>
      </c>
      <c r="D4" s="86" t="s">
        <v>125</v>
      </c>
      <c r="E4" s="86" t="s">
        <v>127</v>
      </c>
      <c r="F4" s="86"/>
      <c r="G4" s="86"/>
      <c r="H4" s="86" t="s">
        <v>124</v>
      </c>
      <c r="I4" s="86" t="s">
        <v>135</v>
      </c>
      <c r="J4" s="90" t="s">
        <v>134</v>
      </c>
    </row>
    <row r="5" spans="1:11" s="11" customFormat="1">
      <c r="B5" s="96" t="s">
        <v>167</v>
      </c>
      <c r="C5" s="88"/>
      <c r="D5" s="86"/>
      <c r="E5" s="86"/>
      <c r="F5" s="86"/>
      <c r="G5" s="86"/>
      <c r="H5" s="86"/>
      <c r="I5" s="86"/>
      <c r="J5" s="90"/>
    </row>
    <row r="6" spans="1:11" ht="46.5" customHeight="1">
      <c r="B6" s="82">
        <v>44614.336801851852</v>
      </c>
      <c r="C6" s="88" t="s">
        <v>144</v>
      </c>
      <c r="D6" s="86" t="s">
        <v>128</v>
      </c>
      <c r="E6" s="86" t="s">
        <v>129</v>
      </c>
      <c r="F6" s="86"/>
      <c r="G6" s="86"/>
      <c r="H6" s="86" t="s">
        <v>124</v>
      </c>
      <c r="I6" s="85" t="s">
        <v>136</v>
      </c>
      <c r="J6" s="88" t="s">
        <v>137</v>
      </c>
    </row>
    <row r="7" spans="1:11" ht="75">
      <c r="B7" s="82">
        <v>44614.414774305558</v>
      </c>
      <c r="C7" s="92" t="s">
        <v>138</v>
      </c>
      <c r="D7" s="90" t="s">
        <v>139</v>
      </c>
      <c r="E7" s="90" t="s">
        <v>140</v>
      </c>
      <c r="F7" s="86"/>
      <c r="G7" s="86"/>
      <c r="H7" s="86" t="s">
        <v>141</v>
      </c>
      <c r="I7" s="85" t="s">
        <v>142</v>
      </c>
      <c r="J7" s="85" t="s">
        <v>143</v>
      </c>
    </row>
    <row r="8" spans="1:11" s="11" customFormat="1">
      <c r="B8" s="96" t="s">
        <v>168</v>
      </c>
      <c r="C8" s="92"/>
      <c r="D8" s="90"/>
      <c r="E8" s="90"/>
      <c r="F8" s="86"/>
      <c r="G8" s="86"/>
      <c r="H8" s="86"/>
      <c r="I8" s="85"/>
      <c r="J8" s="85"/>
    </row>
    <row r="9" spans="1:11" ht="50.25" customHeight="1">
      <c r="B9" s="82">
        <v>44614.518206250003</v>
      </c>
      <c r="C9" s="92" t="s">
        <v>145</v>
      </c>
      <c r="D9" s="90" t="s">
        <v>148</v>
      </c>
      <c r="E9" s="93" t="s">
        <v>149</v>
      </c>
      <c r="F9" s="86"/>
      <c r="G9" s="86"/>
      <c r="H9" s="86" t="s">
        <v>141</v>
      </c>
      <c r="I9" s="85" t="s">
        <v>147</v>
      </c>
      <c r="J9" s="85" t="s">
        <v>146</v>
      </c>
    </row>
    <row r="10" spans="1:11" ht="56.25" customHeight="1">
      <c r="B10" s="82">
        <v>44615.334027777775</v>
      </c>
      <c r="C10" s="88" t="s">
        <v>150</v>
      </c>
      <c r="D10" s="86" t="s">
        <v>153</v>
      </c>
      <c r="E10" s="85" t="s">
        <v>152</v>
      </c>
      <c r="H10" s="86" t="s">
        <v>141</v>
      </c>
      <c r="I10" s="85" t="s">
        <v>154</v>
      </c>
      <c r="J10" s="94" t="s">
        <v>151</v>
      </c>
    </row>
    <row r="11" spans="1:11" ht="93.75" customHeight="1">
      <c r="B11" s="82">
        <v>44615.443055555559</v>
      </c>
      <c r="C11" s="88" t="s">
        <v>155</v>
      </c>
      <c r="D11" s="86" t="s">
        <v>156</v>
      </c>
      <c r="E11" s="95">
        <v>22.6</v>
      </c>
      <c r="H11" s="89" t="s">
        <v>157</v>
      </c>
      <c r="I11" s="88" t="s">
        <v>161</v>
      </c>
      <c r="J11" s="81" t="s">
        <v>162</v>
      </c>
    </row>
    <row r="12" spans="1:11" ht="24.75" customHeight="1">
      <c r="B12" s="82"/>
      <c r="D12" s="86" t="s">
        <v>159</v>
      </c>
      <c r="E12" s="88" t="s">
        <v>158</v>
      </c>
      <c r="H12" s="86" t="s">
        <v>141</v>
      </c>
      <c r="I12" t="s">
        <v>163</v>
      </c>
      <c r="J12" t="s">
        <v>164</v>
      </c>
      <c r="K12" s="81" t="s">
        <v>169</v>
      </c>
    </row>
    <row r="13" spans="1:11">
      <c r="B13" s="82">
        <v>44615.461805555555</v>
      </c>
      <c r="K13" t="s">
        <v>165</v>
      </c>
    </row>
    <row r="14" spans="1:11" ht="105.75" customHeight="1">
      <c r="B14" s="82">
        <v>44615.466666666667</v>
      </c>
      <c r="J14" s="81" t="s">
        <v>170</v>
      </c>
    </row>
    <row r="15" spans="1:11" hidden="1">
      <c r="B15" s="82"/>
      <c r="C15" t="s">
        <v>171</v>
      </c>
    </row>
    <row r="16" spans="1:11">
      <c r="B16" s="82">
        <v>44615.487500000003</v>
      </c>
      <c r="I16" t="s">
        <v>172</v>
      </c>
      <c r="J16" t="s">
        <v>180</v>
      </c>
    </row>
    <row r="17" spans="2:12" hidden="1">
      <c r="B17" s="82"/>
      <c r="C17" t="s">
        <v>173</v>
      </c>
    </row>
    <row r="18" spans="2:12" ht="15.75">
      <c r="B18" s="99" t="s">
        <v>178</v>
      </c>
    </row>
    <row r="19" spans="2:12" ht="48" customHeight="1">
      <c r="B19" s="82">
        <v>44616.339140856478</v>
      </c>
      <c r="C19" s="93" t="s">
        <v>182</v>
      </c>
      <c r="D19" s="11" t="s">
        <v>188</v>
      </c>
      <c r="E19" t="s">
        <v>189</v>
      </c>
      <c r="H19" s="86" t="s">
        <v>141</v>
      </c>
      <c r="I19" s="89" t="s">
        <v>179</v>
      </c>
      <c r="J19" s="81" t="s">
        <v>181</v>
      </c>
    </row>
    <row r="20" spans="2:12" ht="89.25" customHeight="1">
      <c r="B20" s="82">
        <v>44616.445319791666</v>
      </c>
      <c r="C20" s="101" t="s">
        <v>183</v>
      </c>
      <c r="D20" s="86" t="s">
        <v>187</v>
      </c>
      <c r="E20" s="86" t="s">
        <v>186</v>
      </c>
      <c r="F20" s="95"/>
      <c r="H20" s="86" t="s">
        <v>157</v>
      </c>
      <c r="I20" s="88" t="s">
        <v>185</v>
      </c>
      <c r="J20" s="88" t="s">
        <v>184</v>
      </c>
      <c r="L20" s="100"/>
    </row>
    <row r="21" spans="2:12">
      <c r="B21" s="82">
        <v>44616.45181273148</v>
      </c>
      <c r="C21" s="11" t="s">
        <v>190</v>
      </c>
      <c r="E21" t="s">
        <v>191</v>
      </c>
      <c r="H21" s="86" t="s">
        <v>141</v>
      </c>
      <c r="L21" t="str">
        <f ca="1">TEXT(NOW(),"0")</f>
        <v>44826</v>
      </c>
    </row>
    <row r="22" spans="2:12" ht="73.5" customHeight="1">
      <c r="B22" s="82">
        <v>44616.506158217591</v>
      </c>
      <c r="C22" s="88" t="s">
        <v>192</v>
      </c>
      <c r="D22" s="11" t="s">
        <v>195</v>
      </c>
      <c r="E22" s="102" t="s">
        <v>194</v>
      </c>
      <c r="H22" s="86" t="s">
        <v>157</v>
      </c>
      <c r="I22" s="88" t="s">
        <v>193</v>
      </c>
      <c r="J22" s="88" t="s">
        <v>198</v>
      </c>
      <c r="K22" s="88" t="s">
        <v>199</v>
      </c>
    </row>
    <row r="23" spans="2:12">
      <c r="B23" s="82"/>
      <c r="C23" t="s">
        <v>190</v>
      </c>
      <c r="D23" s="11" t="s">
        <v>197</v>
      </c>
      <c r="E23" t="s">
        <v>196</v>
      </c>
      <c r="H23" s="86" t="s">
        <v>141</v>
      </c>
    </row>
    <row r="24" spans="2:12">
      <c r="B24" s="82"/>
    </row>
    <row r="25" spans="2:12">
      <c r="B25" s="82"/>
    </row>
    <row r="26" spans="2:12">
      <c r="B26" s="82"/>
    </row>
    <row r="27" spans="2:12">
      <c r="B27" s="82"/>
    </row>
    <row r="28" spans="2:12">
      <c r="B28" s="82"/>
    </row>
    <row r="31" spans="2:12">
      <c r="C31" s="80"/>
    </row>
    <row r="32" spans="2:12">
      <c r="C32" s="80"/>
      <c r="E32" s="11"/>
    </row>
    <row r="33" spans="3:5">
      <c r="C33" s="80"/>
      <c r="E33" s="11"/>
    </row>
    <row r="34" spans="3:5">
      <c r="C34" s="80"/>
      <c r="E34" s="11"/>
    </row>
    <row r="35" spans="3:5">
      <c r="C35" s="80"/>
      <c r="E35" s="11"/>
    </row>
    <row r="36" spans="3:5">
      <c r="C36" s="80"/>
      <c r="E36" s="11"/>
    </row>
    <row r="37" spans="3:5">
      <c r="C37" s="80"/>
      <c r="E37" s="11"/>
    </row>
  </sheetData>
  <phoneticPr fontId="24" type="noConversion"/>
  <conditionalFormatting sqref="H3:J3">
    <cfRule type="cellIs" dxfId="19" priority="21" operator="equal">
      <formula>"Correct"</formula>
    </cfRule>
  </conditionalFormatting>
  <conditionalFormatting sqref="H4:I5">
    <cfRule type="cellIs" dxfId="18" priority="20" operator="equal">
      <formula>"Correct"</formula>
    </cfRule>
  </conditionalFormatting>
  <conditionalFormatting sqref="H6:I6">
    <cfRule type="cellIs" dxfId="17" priority="18" operator="equal">
      <formula>"Correct"</formula>
    </cfRule>
  </conditionalFormatting>
  <conditionalFormatting sqref="I7:J8">
    <cfRule type="cellIs" dxfId="16" priority="17" operator="equal">
      <formula>"Correct"</formula>
    </cfRule>
  </conditionalFormatting>
  <conditionalFormatting sqref="H1:H8 H11:H1048576">
    <cfRule type="containsText" dxfId="15" priority="15" operator="containsText" text="Correct">
      <formula>NOT(ISERROR(SEARCH("Correct",H1)))</formula>
    </cfRule>
    <cfRule type="cellIs" dxfId="14" priority="16" operator="equal">
      <formula>"Correct"</formula>
    </cfRule>
  </conditionalFormatting>
  <conditionalFormatting sqref="I9:J9">
    <cfRule type="cellIs" dxfId="13" priority="14" operator="equal">
      <formula>"Correct"</formula>
    </cfRule>
  </conditionalFormatting>
  <conditionalFormatting sqref="H9">
    <cfRule type="containsText" dxfId="12" priority="12" operator="containsText" text="Correct">
      <formula>NOT(ISERROR(SEARCH("Correct",H9)))</formula>
    </cfRule>
    <cfRule type="cellIs" dxfId="11" priority="13" operator="equal">
      <formula>"Correct"</formula>
    </cfRule>
  </conditionalFormatting>
  <conditionalFormatting sqref="H10">
    <cfRule type="containsText" dxfId="10" priority="10" operator="containsText" text="Correct">
      <formula>NOT(ISERROR(SEARCH("Correct",H10)))</formula>
    </cfRule>
    <cfRule type="cellIs" dxfId="9" priority="11" operator="equal">
      <formula>"Correct"</formula>
    </cfRule>
  </conditionalFormatting>
  <conditionalFormatting sqref="H1:H1048576">
    <cfRule type="containsText" dxfId="8" priority="9" operator="containsText" text="incorrect">
      <formula>NOT(ISERROR(SEARCH("incorrect",H1)))</formula>
    </cfRule>
  </conditionalFormatting>
  <conditionalFormatting sqref="H12">
    <cfRule type="containsText" dxfId="7" priority="7" operator="containsText" text="Correct">
      <formula>NOT(ISERROR(SEARCH("Correct",H12)))</formula>
    </cfRule>
    <cfRule type="cellIs" dxfId="6" priority="8" operator="equal">
      <formula>"Correct"</formula>
    </cfRule>
  </conditionalFormatting>
  <conditionalFormatting sqref="H19">
    <cfRule type="containsText" dxfId="5" priority="5" operator="containsText" text="Correct">
      <formula>NOT(ISERROR(SEARCH("Correct",H19)))</formula>
    </cfRule>
    <cfRule type="cellIs" dxfId="4" priority="6" operator="equal">
      <formula>"Correct"</formula>
    </cfRule>
  </conditionalFormatting>
  <conditionalFormatting sqref="H21">
    <cfRule type="containsText" dxfId="3" priority="3" operator="containsText" text="Correct">
      <formula>NOT(ISERROR(SEARCH("Correct",H21)))</formula>
    </cfRule>
    <cfRule type="cellIs" dxfId="2" priority="4" operator="equal">
      <formula>"Correct"</formula>
    </cfRule>
  </conditionalFormatting>
  <conditionalFormatting sqref="H23">
    <cfRule type="containsText" dxfId="1" priority="1" operator="containsText" text="Correct">
      <formula>NOT(ISERROR(SEARCH("Correct",H23)))</formula>
    </cfRule>
    <cfRule type="cellIs" dxfId="0" priority="2" operator="equal">
      <formula>"Correct"</formula>
    </cfRule>
  </conditionalFormatting>
  <pageMargins left="0.7" right="0.7" top="0.75" bottom="0.75" header="0.3" footer="0.3"/>
  <pageSetup orientation="portrait" verticalDpi="12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F8250-029F-4192-AD7A-2B829487E969}">
  <sheetPr codeName="Sheet4">
    <pageSetUpPr autoPageBreaks="0"/>
  </sheetPr>
  <dimension ref="A1:O368"/>
  <sheetViews>
    <sheetView zoomScaleNormal="100" workbookViewId="0">
      <selection activeCell="C24" sqref="C24"/>
    </sheetView>
  </sheetViews>
  <sheetFormatPr defaultRowHeight="15"/>
  <cols>
    <col min="1" max="1" width="45.140625" style="152" customWidth="1"/>
    <col min="2" max="2" width="18.5703125" style="152" customWidth="1"/>
    <col min="3" max="3" width="45.140625" style="152" customWidth="1"/>
    <col min="4" max="5" width="9.140625" style="152"/>
    <col min="6" max="8" width="0" style="152" hidden="1" customWidth="1"/>
    <col min="9" max="9" width="9.140625" style="153"/>
    <col min="10" max="10" width="11.140625" style="152" customWidth="1"/>
    <col min="11" max="11" width="11.5703125" style="154" customWidth="1"/>
    <col min="12" max="12" width="16.140625" style="154" customWidth="1"/>
    <col min="13" max="13" width="16.5703125" style="154" customWidth="1"/>
    <col min="14" max="14" width="13.5703125" style="154" customWidth="1"/>
    <col min="15" max="15" width="19.42578125" style="154" customWidth="1"/>
    <col min="16" max="26" width="9.140625" style="154"/>
    <col min="27" max="30" width="0" style="154" hidden="1" customWidth="1"/>
    <col min="31" max="16384" width="9.140625" style="154"/>
  </cols>
  <sheetData>
    <row r="1" spans="1:15" ht="15" customHeight="1" thickBot="1">
      <c r="J1" s="154"/>
    </row>
    <row r="2" spans="1:15" s="153" customFormat="1" ht="19.5" thickBot="1">
      <c r="A2" s="152"/>
      <c r="B2" s="152"/>
      <c r="C2" s="152"/>
      <c r="D2" s="152"/>
      <c r="E2" s="152"/>
      <c r="L2" s="490" t="s">
        <v>933</v>
      </c>
      <c r="M2" s="491"/>
      <c r="N2" s="491"/>
    </row>
    <row r="3" spans="1:15" ht="27.75" customHeight="1">
      <c r="A3" s="155" t="s">
        <v>266</v>
      </c>
      <c r="C3" s="156" t="s">
        <v>268</v>
      </c>
      <c r="J3" s="154"/>
      <c r="L3" s="480" t="s">
        <v>934</v>
      </c>
      <c r="M3" s="481"/>
      <c r="N3" s="481"/>
    </row>
    <row r="4" spans="1:15" ht="93" customHeight="1">
      <c r="A4" s="135">
        <v>36310</v>
      </c>
      <c r="B4" s="165"/>
      <c r="C4" s="135" t="s">
        <v>630</v>
      </c>
      <c r="D4" s="165"/>
      <c r="J4" s="154"/>
      <c r="L4" s="480"/>
      <c r="M4" s="481"/>
      <c r="N4" s="481"/>
    </row>
    <row r="5" spans="1:15" ht="15" customHeight="1">
      <c r="A5" s="165"/>
      <c r="B5" s="165"/>
      <c r="C5" s="165"/>
      <c r="D5" s="165"/>
      <c r="J5" s="154"/>
      <c r="L5" s="480"/>
      <c r="M5" s="481"/>
      <c r="N5" s="481"/>
    </row>
    <row r="6" spans="1:15" ht="39.75" customHeight="1">
      <c r="A6" s="165"/>
      <c r="B6" s="165"/>
      <c r="C6" s="165"/>
      <c r="D6" s="165"/>
      <c r="J6" s="154"/>
    </row>
    <row r="7" spans="1:15" ht="27.75" customHeight="1">
      <c r="A7" s="166" t="s">
        <v>282</v>
      </c>
      <c r="B7" s="165"/>
      <c r="C7" s="167" t="s">
        <v>269</v>
      </c>
      <c r="D7" s="165"/>
      <c r="J7" s="154"/>
    </row>
    <row r="8" spans="1:15" ht="93" customHeight="1" thickBot="1">
      <c r="A8" s="135" t="str">
        <f>A12</f>
        <v>19990530</v>
      </c>
      <c r="B8" s="165"/>
      <c r="C8" s="135" t="str">
        <f>SUBSTITUTE(C4,"-","")</f>
        <v>658058978</v>
      </c>
      <c r="D8" s="165"/>
      <c r="J8" s="154"/>
    </row>
    <row r="9" spans="1:15" ht="15" customHeight="1" thickBot="1">
      <c r="A9" s="165"/>
      <c r="B9" s="165"/>
      <c r="C9" s="165"/>
      <c r="D9" s="165"/>
      <c r="J9" s="154"/>
      <c r="M9" s="157" t="s">
        <v>328</v>
      </c>
      <c r="O9" s="157" t="s">
        <v>329</v>
      </c>
    </row>
    <row r="10" spans="1:15" ht="15" customHeight="1">
      <c r="A10" s="165"/>
      <c r="B10" s="165"/>
      <c r="C10" s="165"/>
      <c r="D10" s="165"/>
      <c r="J10" s="154"/>
      <c r="M10" s="158" t="s">
        <v>440</v>
      </c>
      <c r="O10" s="240" t="str">
        <f>SUBSTITUTE(M10,"-","")</f>
        <v>209569725</v>
      </c>
    </row>
    <row r="11" spans="1:15" ht="15" customHeight="1">
      <c r="A11" s="165"/>
      <c r="B11" s="165"/>
      <c r="C11" s="165"/>
      <c r="D11" s="165"/>
      <c r="J11" s="154"/>
      <c r="M11" s="159" t="s">
        <v>439</v>
      </c>
      <c r="O11" s="238" t="str">
        <f t="shared" ref="O11" si="0">SUBSTITUTE(M11,"-","")</f>
        <v>610682810</v>
      </c>
    </row>
    <row r="12" spans="1:15" s="153" customFormat="1">
      <c r="A12" s="168" t="str">
        <f>_xlfn.CONCAT(TEXT(YEAR(A4),"00"),TEXT(MONTH(A4),"00"),TEXT(DAY(A4),"00"))</f>
        <v>19990530</v>
      </c>
      <c r="B12" s="165"/>
      <c r="C12" s="165"/>
      <c r="D12" s="165"/>
      <c r="E12" s="152"/>
      <c r="M12" s="159" t="s">
        <v>448</v>
      </c>
      <c r="O12" s="238" t="str">
        <f t="shared" ref="O12:O22" si="1">SUBSTITUTE(M12,"-","")</f>
        <v>174546013</v>
      </c>
    </row>
    <row r="13" spans="1:15" s="153" customFormat="1">
      <c r="A13" s="165"/>
      <c r="B13" s="165"/>
      <c r="C13" s="165"/>
      <c r="D13" s="165"/>
      <c r="E13" s="152"/>
      <c r="M13" s="159" t="s">
        <v>447</v>
      </c>
      <c r="O13" s="238" t="str">
        <f t="shared" si="1"/>
        <v>053600118</v>
      </c>
    </row>
    <row r="14" spans="1:15" s="153" customFormat="1">
      <c r="A14" s="165"/>
      <c r="B14" s="165"/>
      <c r="C14" s="165"/>
      <c r="D14" s="165"/>
      <c r="E14" s="152"/>
      <c r="M14" s="159" t="s">
        <v>446</v>
      </c>
      <c r="O14" s="238" t="str">
        <f t="shared" si="1"/>
        <v>598701567</v>
      </c>
    </row>
    <row r="15" spans="1:15" ht="15" customHeight="1">
      <c r="A15" s="165"/>
      <c r="B15" s="165"/>
      <c r="C15" s="165"/>
      <c r="D15" s="165"/>
      <c r="J15" s="154"/>
      <c r="M15" s="159" t="s">
        <v>445</v>
      </c>
      <c r="O15" s="238" t="str">
        <f t="shared" si="1"/>
        <v>199704573</v>
      </c>
    </row>
    <row r="16" spans="1:15" ht="15.75" customHeight="1">
      <c r="A16" s="165"/>
      <c r="B16" s="165"/>
      <c r="C16" s="165"/>
      <c r="D16" s="165"/>
      <c r="J16" s="154"/>
      <c r="M16" s="159" t="s">
        <v>444</v>
      </c>
      <c r="O16" s="238" t="str">
        <f t="shared" si="1"/>
        <v>206740822</v>
      </c>
    </row>
    <row r="17" spans="1:15" ht="15" customHeight="1">
      <c r="A17" s="165"/>
      <c r="B17" s="165"/>
      <c r="C17" s="165"/>
      <c r="D17" s="165"/>
      <c r="J17" s="154"/>
      <c r="M17" s="159" t="s">
        <v>443</v>
      </c>
      <c r="O17" s="238" t="str">
        <f t="shared" si="1"/>
        <v>561394223</v>
      </c>
    </row>
    <row r="18" spans="1:15" ht="15" customHeight="1">
      <c r="A18" s="165"/>
      <c r="B18" s="165"/>
      <c r="C18" s="165"/>
      <c r="D18" s="165"/>
      <c r="J18" s="154"/>
      <c r="M18" s="159" t="s">
        <v>442</v>
      </c>
      <c r="O18" s="238" t="str">
        <f t="shared" si="1"/>
        <v>166569106</v>
      </c>
    </row>
    <row r="19" spans="1:15" ht="15" customHeight="1">
      <c r="A19" s="165"/>
      <c r="B19" s="165"/>
      <c r="C19" s="165"/>
      <c r="D19" s="165"/>
      <c r="J19" s="154"/>
      <c r="M19" s="159" t="s">
        <v>441</v>
      </c>
      <c r="O19" s="238" t="str">
        <f t="shared" si="1"/>
        <v>194701698</v>
      </c>
    </row>
    <row r="20" spans="1:15" ht="15" customHeight="1">
      <c r="A20" s="165"/>
      <c r="B20" s="165"/>
      <c r="C20" s="165"/>
      <c r="D20" s="165"/>
      <c r="J20" s="154"/>
      <c r="M20" s="159"/>
      <c r="O20" s="238" t="str">
        <f t="shared" si="1"/>
        <v/>
      </c>
    </row>
    <row r="21" spans="1:15" ht="15" customHeight="1">
      <c r="A21" s="165"/>
      <c r="B21" s="165"/>
      <c r="C21" s="165"/>
      <c r="D21" s="165"/>
      <c r="J21" s="154"/>
      <c r="M21" s="159"/>
      <c r="O21" s="238" t="str">
        <f t="shared" si="1"/>
        <v/>
      </c>
    </row>
    <row r="22" spans="1:15" ht="15" customHeight="1" thickBot="1">
      <c r="J22" s="154"/>
      <c r="M22" s="160"/>
      <c r="O22" s="239" t="str">
        <f t="shared" si="1"/>
        <v/>
      </c>
    </row>
    <row r="23" spans="1:15" s="153" customFormat="1">
      <c r="A23" s="152"/>
      <c r="B23" s="152"/>
      <c r="C23" s="152"/>
      <c r="D23" s="152"/>
      <c r="E23" s="152"/>
    </row>
    <row r="24" spans="1:15" s="153" customFormat="1" ht="15" customHeight="1">
      <c r="A24" s="152"/>
      <c r="B24" s="152"/>
      <c r="C24" s="152"/>
      <c r="D24" s="152"/>
      <c r="E24" s="152"/>
    </row>
    <row r="25" spans="1:15" s="153" customFormat="1" ht="16.5" customHeight="1">
      <c r="A25" s="152"/>
      <c r="B25" s="152"/>
      <c r="C25" s="152"/>
      <c r="D25" s="152"/>
      <c r="E25" s="152"/>
    </row>
    <row r="26" spans="1:15" s="153" customFormat="1">
      <c r="A26" s="152"/>
      <c r="B26" s="152"/>
      <c r="C26" s="152"/>
      <c r="D26" s="152"/>
      <c r="E26" s="152"/>
      <c r="J26" s="461" t="s">
        <v>353</v>
      </c>
      <c r="K26" s="462"/>
      <c r="L26" s="462"/>
      <c r="M26" s="462"/>
      <c r="N26" s="462"/>
      <c r="O26" s="462"/>
    </row>
    <row r="27" spans="1:15" s="153" customFormat="1">
      <c r="A27" s="152"/>
      <c r="B27" s="152"/>
      <c r="C27" s="152"/>
      <c r="D27" s="152"/>
      <c r="E27" s="152"/>
      <c r="J27" s="161" t="s">
        <v>351</v>
      </c>
      <c r="K27" s="162" t="s">
        <v>352</v>
      </c>
      <c r="L27" s="161" t="s">
        <v>348</v>
      </c>
      <c r="M27" s="161" t="s">
        <v>349</v>
      </c>
      <c r="N27" s="161" t="s">
        <v>350</v>
      </c>
      <c r="O27" s="163" t="s">
        <v>360</v>
      </c>
    </row>
    <row r="28" spans="1:15" s="153" customFormat="1">
      <c r="A28" s="152"/>
      <c r="B28" s="152"/>
      <c r="C28" s="152"/>
      <c r="D28" s="152"/>
      <c r="E28" s="152"/>
      <c r="J28" s="169">
        <v>38947</v>
      </c>
      <c r="K28" s="169">
        <v>39812</v>
      </c>
      <c r="L28" s="170">
        <f>DATEDIF(J28,K28,"Y")</f>
        <v>2</v>
      </c>
      <c r="M28" s="170">
        <f>DATEDIF(J28,K28,"m")</f>
        <v>28</v>
      </c>
      <c r="N28" s="170">
        <f>DATEDIF(J28,K28,"d")</f>
        <v>865</v>
      </c>
      <c r="O28" s="164" t="str">
        <f xml:space="preserve"> L28 &amp;" years " &amp; MOD(M28,12) &amp; " months"</f>
        <v>2 years 4 months</v>
      </c>
    </row>
    <row r="29" spans="1:15" s="153" customFormat="1">
      <c r="A29" s="152"/>
      <c r="B29" s="152"/>
      <c r="C29" s="152"/>
      <c r="D29" s="152"/>
      <c r="E29" s="152"/>
    </row>
    <row r="30" spans="1:15" s="153" customFormat="1">
      <c r="A30" s="152"/>
      <c r="B30" s="152"/>
      <c r="C30" s="152"/>
      <c r="D30" s="152"/>
      <c r="E30" s="152"/>
    </row>
    <row r="31" spans="1:15" s="153" customFormat="1">
      <c r="A31" s="152"/>
      <c r="B31" s="152"/>
      <c r="C31" s="152"/>
      <c r="D31" s="152"/>
      <c r="E31" s="152"/>
    </row>
    <row r="32" spans="1:15" s="153" customFormat="1">
      <c r="A32" s="152"/>
      <c r="B32" s="152"/>
      <c r="C32" s="152"/>
      <c r="D32" s="152"/>
      <c r="E32" s="152"/>
    </row>
    <row r="33" spans="1:9" s="153" customFormat="1">
      <c r="A33" s="152"/>
      <c r="B33" s="152"/>
      <c r="C33" s="152"/>
      <c r="D33" s="152"/>
      <c r="E33" s="152"/>
    </row>
    <row r="34" spans="1:9" s="153" customFormat="1">
      <c r="A34" s="152"/>
      <c r="B34" s="152"/>
      <c r="C34" s="152"/>
      <c r="D34" s="152"/>
      <c r="E34" s="152"/>
    </row>
    <row r="35" spans="1:9" s="153" customFormat="1">
      <c r="A35" s="152"/>
      <c r="B35" s="152"/>
      <c r="C35" s="152"/>
      <c r="D35" s="152"/>
      <c r="E35" s="152"/>
    </row>
    <row r="36" spans="1:9" s="153" customFormat="1">
      <c r="A36" s="152"/>
      <c r="B36" s="152"/>
      <c r="C36" s="152"/>
      <c r="D36" s="152"/>
      <c r="E36" s="152"/>
    </row>
    <row r="37" spans="1:9" s="153" customFormat="1">
      <c r="A37" s="152"/>
      <c r="B37" s="152"/>
      <c r="C37" s="152"/>
      <c r="D37" s="152"/>
      <c r="E37" s="152"/>
    </row>
    <row r="38" spans="1:9" s="153" customFormat="1">
      <c r="A38" s="152"/>
      <c r="B38" s="152"/>
      <c r="C38" s="152"/>
      <c r="D38" s="152"/>
      <c r="E38" s="152"/>
    </row>
    <row r="39" spans="1:9" s="153" customFormat="1">
      <c r="A39" s="152"/>
      <c r="B39" s="152"/>
      <c r="C39" s="152"/>
      <c r="D39" s="152"/>
      <c r="E39" s="152"/>
    </row>
    <row r="40" spans="1:9" s="153" customFormat="1">
      <c r="A40" s="152"/>
      <c r="B40" s="152"/>
      <c r="C40" s="152"/>
      <c r="D40" s="152"/>
      <c r="E40" s="152"/>
    </row>
    <row r="41" spans="1:9" s="154" customFormat="1">
      <c r="A41" s="152"/>
      <c r="B41" s="152"/>
      <c r="C41" s="152"/>
      <c r="D41" s="152"/>
      <c r="E41" s="152"/>
      <c r="F41" s="152"/>
      <c r="G41" s="152"/>
      <c r="H41" s="152"/>
      <c r="I41" s="153"/>
    </row>
    <row r="42" spans="1:9" s="154" customFormat="1">
      <c r="A42" s="152"/>
      <c r="B42" s="152"/>
      <c r="C42" s="152"/>
      <c r="D42" s="152"/>
      <c r="E42" s="152"/>
      <c r="F42" s="152"/>
      <c r="G42" s="152"/>
      <c r="H42" s="152"/>
      <c r="I42" s="153"/>
    </row>
    <row r="43" spans="1:9" s="154" customFormat="1">
      <c r="A43" s="152"/>
      <c r="B43" s="152"/>
      <c r="C43" s="152"/>
      <c r="D43" s="152"/>
      <c r="E43" s="152"/>
      <c r="F43" s="152"/>
      <c r="G43" s="152"/>
      <c r="H43" s="152"/>
      <c r="I43" s="153"/>
    </row>
    <row r="44" spans="1:9" s="154" customFormat="1">
      <c r="A44" s="152"/>
      <c r="B44" s="152"/>
      <c r="C44" s="152"/>
      <c r="D44" s="152"/>
      <c r="E44" s="152"/>
      <c r="F44" s="152"/>
      <c r="G44" s="152"/>
      <c r="H44" s="152"/>
      <c r="I44" s="153"/>
    </row>
    <row r="45" spans="1:9" s="154" customFormat="1">
      <c r="A45" s="152"/>
      <c r="B45" s="152"/>
      <c r="C45" s="152"/>
      <c r="D45" s="152"/>
      <c r="E45" s="152"/>
      <c r="F45" s="152"/>
      <c r="G45" s="152"/>
      <c r="H45" s="152"/>
      <c r="I45" s="153"/>
    </row>
    <row r="46" spans="1:9" s="154" customFormat="1">
      <c r="A46" s="152"/>
      <c r="B46" s="152"/>
      <c r="C46" s="152"/>
      <c r="D46" s="152"/>
      <c r="E46" s="152"/>
      <c r="F46" s="152"/>
      <c r="G46" s="152"/>
      <c r="H46" s="152"/>
      <c r="I46" s="153"/>
    </row>
    <row r="47" spans="1:9" s="154" customFormat="1">
      <c r="A47" s="152"/>
      <c r="B47" s="152"/>
      <c r="C47" s="152"/>
      <c r="D47" s="152"/>
      <c r="E47" s="152"/>
      <c r="F47" s="152"/>
      <c r="G47" s="152"/>
      <c r="H47" s="152"/>
      <c r="I47" s="153"/>
    </row>
    <row r="48" spans="1:9" s="154" customFormat="1">
      <c r="A48" s="152"/>
      <c r="B48" s="152"/>
      <c r="C48" s="152"/>
      <c r="D48" s="152"/>
      <c r="E48" s="152"/>
      <c r="F48" s="152"/>
      <c r="G48" s="152"/>
      <c r="H48" s="152"/>
      <c r="I48" s="153"/>
    </row>
    <row r="49" spans="1:9" s="154" customFormat="1">
      <c r="A49" s="152"/>
      <c r="B49" s="152"/>
      <c r="C49" s="152"/>
      <c r="D49" s="152"/>
      <c r="E49" s="152"/>
      <c r="F49" s="152"/>
      <c r="G49" s="152"/>
      <c r="H49" s="152"/>
      <c r="I49" s="153"/>
    </row>
    <row r="50" spans="1:9" s="154" customFormat="1">
      <c r="A50" s="152"/>
      <c r="B50" s="152"/>
      <c r="C50" s="152"/>
      <c r="D50" s="152"/>
      <c r="E50" s="152"/>
      <c r="F50" s="152"/>
      <c r="G50" s="152"/>
      <c r="H50" s="152"/>
      <c r="I50" s="153"/>
    </row>
    <row r="51" spans="1:9" s="154" customFormat="1">
      <c r="A51" s="152"/>
      <c r="B51" s="152"/>
      <c r="C51" s="152"/>
      <c r="D51" s="152"/>
      <c r="E51" s="152"/>
      <c r="F51" s="152"/>
      <c r="G51" s="152"/>
      <c r="H51" s="152"/>
      <c r="I51" s="153"/>
    </row>
    <row r="52" spans="1:9" s="154" customFormat="1">
      <c r="A52" s="152"/>
      <c r="B52" s="152"/>
      <c r="C52" s="152"/>
      <c r="D52" s="152"/>
      <c r="E52" s="152"/>
      <c r="F52" s="152"/>
      <c r="G52" s="152"/>
      <c r="H52" s="152"/>
      <c r="I52" s="153"/>
    </row>
    <row r="53" spans="1:9" s="154" customFormat="1">
      <c r="A53" s="152"/>
      <c r="B53" s="152"/>
      <c r="C53" s="152"/>
      <c r="D53" s="152"/>
      <c r="E53" s="152"/>
      <c r="F53" s="152"/>
      <c r="G53" s="152"/>
      <c r="H53" s="152"/>
      <c r="I53" s="153"/>
    </row>
    <row r="54" spans="1:9" s="154" customFormat="1">
      <c r="A54" s="152"/>
      <c r="B54" s="152"/>
      <c r="C54" s="152"/>
      <c r="D54" s="152"/>
      <c r="E54" s="152"/>
      <c r="F54" s="152"/>
      <c r="G54" s="152"/>
      <c r="H54" s="152"/>
      <c r="I54" s="153"/>
    </row>
    <row r="55" spans="1:9" s="154" customFormat="1">
      <c r="A55" s="152"/>
      <c r="B55" s="152"/>
      <c r="C55" s="152"/>
      <c r="D55" s="152"/>
      <c r="E55" s="152"/>
      <c r="F55" s="152"/>
      <c r="G55" s="152"/>
      <c r="H55" s="152"/>
      <c r="I55" s="153"/>
    </row>
    <row r="56" spans="1:9" s="154" customFormat="1">
      <c r="A56" s="152"/>
      <c r="B56" s="152"/>
      <c r="C56" s="152"/>
      <c r="D56" s="152"/>
      <c r="E56" s="152"/>
      <c r="F56" s="152"/>
      <c r="G56" s="152"/>
      <c r="H56" s="152"/>
      <c r="I56" s="153"/>
    </row>
    <row r="57" spans="1:9" s="154" customFormat="1">
      <c r="A57" s="152"/>
      <c r="B57" s="152"/>
      <c r="C57" s="152"/>
      <c r="D57" s="152"/>
      <c r="E57" s="152"/>
      <c r="F57" s="152"/>
      <c r="G57" s="152"/>
      <c r="H57" s="152"/>
      <c r="I57" s="153"/>
    </row>
    <row r="58" spans="1:9" s="154" customFormat="1">
      <c r="A58" s="152"/>
      <c r="B58" s="152"/>
      <c r="C58" s="152"/>
      <c r="D58" s="152"/>
      <c r="E58" s="152"/>
      <c r="F58" s="152"/>
      <c r="G58" s="152"/>
      <c r="H58" s="152"/>
      <c r="I58" s="153"/>
    </row>
    <row r="59" spans="1:9" s="154" customFormat="1">
      <c r="A59" s="152"/>
      <c r="B59" s="152"/>
      <c r="C59" s="152"/>
      <c r="D59" s="152"/>
      <c r="E59" s="152"/>
      <c r="F59" s="152"/>
      <c r="G59" s="152"/>
      <c r="H59" s="152"/>
      <c r="I59" s="153"/>
    </row>
    <row r="60" spans="1:9" s="154" customFormat="1">
      <c r="A60" s="152"/>
      <c r="B60" s="152"/>
      <c r="C60" s="152"/>
      <c r="D60" s="152"/>
      <c r="E60" s="152"/>
      <c r="F60" s="152"/>
      <c r="G60" s="152"/>
      <c r="H60" s="152"/>
      <c r="I60" s="153"/>
    </row>
    <row r="61" spans="1:9" s="154" customFormat="1">
      <c r="A61" s="152"/>
      <c r="B61" s="152"/>
      <c r="C61" s="152"/>
      <c r="D61" s="152"/>
      <c r="E61" s="152"/>
      <c r="F61" s="152"/>
      <c r="G61" s="152"/>
      <c r="H61" s="152"/>
      <c r="I61" s="153"/>
    </row>
    <row r="62" spans="1:9" s="154" customFormat="1">
      <c r="A62" s="152"/>
      <c r="B62" s="152"/>
      <c r="C62" s="152"/>
      <c r="D62" s="152"/>
      <c r="E62" s="152"/>
      <c r="F62" s="152"/>
      <c r="G62" s="152"/>
      <c r="H62" s="152"/>
      <c r="I62" s="153"/>
    </row>
    <row r="63" spans="1:9" s="154" customFormat="1">
      <c r="A63" s="152"/>
      <c r="B63" s="152"/>
      <c r="C63" s="152"/>
      <c r="D63" s="152"/>
      <c r="E63" s="152"/>
      <c r="F63" s="152"/>
      <c r="G63" s="152"/>
      <c r="H63" s="152"/>
      <c r="I63" s="153"/>
    </row>
    <row r="64" spans="1:9" s="154" customFormat="1">
      <c r="A64" s="152"/>
      <c r="B64" s="152"/>
      <c r="C64" s="152"/>
      <c r="D64" s="152"/>
      <c r="E64" s="152"/>
      <c r="F64" s="152"/>
      <c r="G64" s="152"/>
      <c r="H64" s="152"/>
      <c r="I64" s="153"/>
    </row>
    <row r="65" spans="1:9" s="154" customFormat="1">
      <c r="A65" s="152"/>
      <c r="B65" s="152"/>
      <c r="C65" s="152"/>
      <c r="D65" s="152"/>
      <c r="E65" s="152"/>
      <c r="F65" s="152"/>
      <c r="G65" s="152"/>
      <c r="H65" s="152"/>
      <c r="I65" s="153"/>
    </row>
    <row r="66" spans="1:9" s="154" customFormat="1">
      <c r="A66" s="152"/>
      <c r="B66" s="152"/>
      <c r="C66" s="152"/>
      <c r="D66" s="152"/>
      <c r="E66" s="152"/>
      <c r="F66" s="152"/>
      <c r="G66" s="152"/>
      <c r="H66" s="152"/>
      <c r="I66" s="153"/>
    </row>
    <row r="67" spans="1:9" s="154" customFormat="1">
      <c r="A67" s="152"/>
      <c r="B67" s="152"/>
      <c r="C67" s="152"/>
      <c r="D67" s="152"/>
      <c r="E67" s="152"/>
      <c r="F67" s="152"/>
      <c r="G67" s="152"/>
      <c r="H67" s="152"/>
      <c r="I67" s="153"/>
    </row>
    <row r="68" spans="1:9" s="154" customFormat="1">
      <c r="A68" s="152"/>
      <c r="B68" s="152"/>
      <c r="C68" s="152"/>
      <c r="D68" s="152"/>
      <c r="E68" s="152"/>
      <c r="F68" s="152"/>
      <c r="G68" s="152"/>
      <c r="H68" s="152"/>
      <c r="I68" s="153"/>
    </row>
    <row r="69" spans="1:9" s="154" customFormat="1">
      <c r="A69" s="152"/>
      <c r="B69" s="152"/>
      <c r="C69" s="152"/>
      <c r="D69" s="152"/>
      <c r="E69" s="152"/>
      <c r="F69" s="152"/>
      <c r="G69" s="152"/>
      <c r="H69" s="152"/>
      <c r="I69" s="153"/>
    </row>
    <row r="70" spans="1:9" s="154" customFormat="1">
      <c r="A70" s="152"/>
      <c r="B70" s="152"/>
      <c r="C70" s="152"/>
      <c r="D70" s="152"/>
      <c r="E70" s="152"/>
      <c r="F70" s="152"/>
      <c r="G70" s="152"/>
      <c r="H70" s="152"/>
      <c r="I70" s="153"/>
    </row>
    <row r="71" spans="1:9" s="154" customFormat="1">
      <c r="A71" s="152"/>
      <c r="B71" s="152"/>
      <c r="C71" s="152"/>
      <c r="D71" s="152"/>
      <c r="E71" s="152"/>
      <c r="F71" s="152"/>
      <c r="G71" s="152"/>
      <c r="H71" s="152"/>
      <c r="I71" s="153"/>
    </row>
    <row r="72" spans="1:9" s="154" customFormat="1">
      <c r="A72" s="152"/>
      <c r="B72" s="152"/>
      <c r="C72" s="152"/>
      <c r="D72" s="152"/>
      <c r="E72" s="152"/>
      <c r="F72" s="152"/>
      <c r="G72" s="152"/>
      <c r="H72" s="152"/>
      <c r="I72" s="153"/>
    </row>
    <row r="73" spans="1:9" s="154" customFormat="1">
      <c r="A73" s="152"/>
      <c r="B73" s="152"/>
      <c r="C73" s="152"/>
      <c r="D73" s="152"/>
      <c r="E73" s="152"/>
      <c r="F73" s="152"/>
      <c r="G73" s="152"/>
      <c r="H73" s="152"/>
      <c r="I73" s="153"/>
    </row>
    <row r="74" spans="1:9" s="154" customFormat="1">
      <c r="A74" s="152"/>
      <c r="B74" s="152"/>
      <c r="C74" s="152"/>
      <c r="D74" s="152"/>
      <c r="E74" s="152"/>
      <c r="F74" s="152"/>
      <c r="G74" s="152"/>
      <c r="H74" s="152"/>
      <c r="I74" s="153"/>
    </row>
    <row r="75" spans="1:9" s="154" customFormat="1">
      <c r="A75" s="152"/>
      <c r="B75" s="152"/>
      <c r="C75" s="152"/>
      <c r="D75" s="152"/>
      <c r="E75" s="152"/>
      <c r="F75" s="152"/>
      <c r="G75" s="152"/>
      <c r="H75" s="152"/>
      <c r="I75" s="153"/>
    </row>
    <row r="76" spans="1:9" s="154" customFormat="1">
      <c r="A76" s="152"/>
      <c r="B76" s="152"/>
      <c r="C76" s="152"/>
      <c r="D76" s="152"/>
      <c r="E76" s="152"/>
      <c r="F76" s="152"/>
      <c r="G76" s="152"/>
      <c r="H76" s="152"/>
      <c r="I76" s="153"/>
    </row>
    <row r="77" spans="1:9" s="154" customFormat="1">
      <c r="A77" s="152"/>
      <c r="B77" s="152"/>
      <c r="C77" s="152"/>
      <c r="D77" s="152"/>
      <c r="E77" s="152"/>
      <c r="F77" s="152"/>
      <c r="G77" s="152"/>
      <c r="H77" s="152"/>
      <c r="I77" s="153"/>
    </row>
    <row r="78" spans="1:9" s="154" customFormat="1">
      <c r="A78" s="152"/>
      <c r="B78" s="152"/>
      <c r="C78" s="152"/>
      <c r="D78" s="152"/>
      <c r="E78" s="152"/>
      <c r="F78" s="152"/>
      <c r="G78" s="152"/>
      <c r="H78" s="152"/>
      <c r="I78" s="153"/>
    </row>
    <row r="79" spans="1:9" s="154" customFormat="1">
      <c r="A79" s="152"/>
      <c r="B79" s="152"/>
      <c r="C79" s="152"/>
      <c r="D79" s="152"/>
      <c r="E79" s="152"/>
      <c r="F79" s="152"/>
      <c r="G79" s="152"/>
      <c r="H79" s="152"/>
      <c r="I79" s="153"/>
    </row>
    <row r="80" spans="1:9" s="154" customFormat="1">
      <c r="A80" s="152"/>
      <c r="B80" s="152"/>
      <c r="C80" s="152"/>
      <c r="D80" s="152"/>
      <c r="E80" s="152"/>
      <c r="F80" s="152"/>
      <c r="G80" s="152"/>
      <c r="H80" s="152"/>
      <c r="I80" s="153"/>
    </row>
    <row r="81" spans="1:9" s="154" customFormat="1">
      <c r="A81" s="152"/>
      <c r="B81" s="152"/>
      <c r="C81" s="152"/>
      <c r="D81" s="152"/>
      <c r="E81" s="152"/>
      <c r="F81" s="152"/>
      <c r="G81" s="152"/>
      <c r="H81" s="152"/>
      <c r="I81" s="153"/>
    </row>
    <row r="82" spans="1:9" s="154" customFormat="1">
      <c r="A82" s="152"/>
      <c r="B82" s="152"/>
      <c r="C82" s="152"/>
      <c r="D82" s="152"/>
      <c r="E82" s="152"/>
      <c r="F82" s="152"/>
      <c r="G82" s="152"/>
      <c r="H82" s="152"/>
      <c r="I82" s="153"/>
    </row>
    <row r="83" spans="1:9" s="154" customFormat="1">
      <c r="A83" s="152"/>
      <c r="B83" s="152"/>
      <c r="C83" s="152"/>
      <c r="D83" s="152"/>
      <c r="E83" s="152"/>
      <c r="F83" s="152"/>
      <c r="G83" s="152"/>
      <c r="H83" s="152"/>
      <c r="I83" s="153"/>
    </row>
    <row r="84" spans="1:9" s="154" customFormat="1">
      <c r="A84" s="152"/>
      <c r="B84" s="152"/>
      <c r="C84" s="152"/>
      <c r="D84" s="152"/>
      <c r="E84" s="152"/>
      <c r="F84" s="152"/>
      <c r="G84" s="152"/>
      <c r="H84" s="152"/>
      <c r="I84" s="153"/>
    </row>
    <row r="85" spans="1:9" s="154" customFormat="1">
      <c r="A85" s="152"/>
      <c r="B85" s="152"/>
      <c r="C85" s="152"/>
      <c r="D85" s="152"/>
      <c r="E85" s="152"/>
      <c r="F85" s="152"/>
      <c r="G85" s="152"/>
      <c r="H85" s="152"/>
      <c r="I85" s="153"/>
    </row>
    <row r="86" spans="1:9" s="154" customFormat="1">
      <c r="A86" s="152"/>
      <c r="B86" s="152"/>
      <c r="C86" s="152"/>
      <c r="D86" s="152"/>
      <c r="E86" s="152"/>
      <c r="F86" s="152"/>
      <c r="G86" s="152"/>
      <c r="H86" s="152"/>
      <c r="I86" s="153"/>
    </row>
    <row r="87" spans="1:9" s="154" customFormat="1">
      <c r="A87" s="152"/>
      <c r="B87" s="152"/>
      <c r="C87" s="152"/>
      <c r="D87" s="152"/>
      <c r="E87" s="152"/>
      <c r="F87" s="152"/>
      <c r="G87" s="152"/>
      <c r="H87" s="152"/>
      <c r="I87" s="153"/>
    </row>
    <row r="88" spans="1:9" s="154" customFormat="1">
      <c r="A88" s="152"/>
      <c r="B88" s="152"/>
      <c r="C88" s="152"/>
      <c r="D88" s="152"/>
      <c r="E88" s="152"/>
      <c r="F88" s="152"/>
      <c r="G88" s="152"/>
      <c r="H88" s="152"/>
      <c r="I88" s="153"/>
    </row>
    <row r="89" spans="1:9" s="154" customFormat="1">
      <c r="A89" s="152"/>
      <c r="B89" s="152"/>
      <c r="C89" s="152"/>
      <c r="D89" s="152"/>
      <c r="E89" s="152"/>
      <c r="F89" s="152"/>
      <c r="G89" s="152"/>
      <c r="H89" s="152"/>
      <c r="I89" s="153"/>
    </row>
    <row r="90" spans="1:9" s="154" customFormat="1">
      <c r="A90" s="152"/>
      <c r="B90" s="152"/>
      <c r="C90" s="152"/>
      <c r="D90" s="152"/>
      <c r="E90" s="152"/>
      <c r="F90" s="152"/>
      <c r="G90" s="152"/>
      <c r="H90" s="152"/>
      <c r="I90" s="153"/>
    </row>
    <row r="91" spans="1:9" s="154" customFormat="1">
      <c r="A91" s="152"/>
      <c r="B91" s="152"/>
      <c r="C91" s="152"/>
      <c r="D91" s="152"/>
      <c r="E91" s="152"/>
      <c r="F91" s="152"/>
      <c r="G91" s="152"/>
      <c r="H91" s="152"/>
      <c r="I91" s="153"/>
    </row>
    <row r="92" spans="1:9" s="154" customFormat="1">
      <c r="A92" s="152"/>
      <c r="B92" s="152"/>
      <c r="C92" s="152"/>
      <c r="D92" s="152"/>
      <c r="E92" s="152"/>
      <c r="F92" s="152"/>
      <c r="G92" s="152"/>
      <c r="H92" s="152"/>
      <c r="I92" s="153"/>
    </row>
    <row r="93" spans="1:9" s="154" customFormat="1">
      <c r="A93" s="152"/>
      <c r="B93" s="152"/>
      <c r="C93" s="152"/>
      <c r="D93" s="152"/>
      <c r="E93" s="152"/>
      <c r="F93" s="152"/>
      <c r="G93" s="152"/>
      <c r="H93" s="152"/>
      <c r="I93" s="153"/>
    </row>
    <row r="94" spans="1:9" s="154" customFormat="1">
      <c r="A94" s="152"/>
      <c r="B94" s="152"/>
      <c r="C94" s="152"/>
      <c r="D94" s="152"/>
      <c r="E94" s="152"/>
      <c r="F94" s="152"/>
      <c r="G94" s="152"/>
      <c r="H94" s="152"/>
      <c r="I94" s="153"/>
    </row>
    <row r="95" spans="1:9" s="154" customFormat="1">
      <c r="A95" s="152"/>
      <c r="B95" s="152"/>
      <c r="C95" s="152"/>
      <c r="D95" s="152"/>
      <c r="E95" s="152"/>
      <c r="F95" s="152"/>
      <c r="G95" s="152"/>
      <c r="H95" s="152"/>
      <c r="I95" s="153"/>
    </row>
    <row r="96" spans="1:9" s="154" customFormat="1">
      <c r="A96" s="152"/>
      <c r="B96" s="152"/>
      <c r="C96" s="152"/>
      <c r="D96" s="152"/>
      <c r="E96" s="152"/>
      <c r="F96" s="152"/>
      <c r="G96" s="152"/>
      <c r="H96" s="152"/>
      <c r="I96" s="153"/>
    </row>
    <row r="97" spans="1:9" s="154" customFormat="1">
      <c r="A97" s="152"/>
      <c r="B97" s="152"/>
      <c r="C97" s="152"/>
      <c r="D97" s="152"/>
      <c r="E97" s="152"/>
      <c r="F97" s="152"/>
      <c r="G97" s="152"/>
      <c r="H97" s="152"/>
      <c r="I97" s="153"/>
    </row>
    <row r="98" spans="1:9" s="154" customFormat="1">
      <c r="A98" s="152"/>
      <c r="B98" s="152"/>
      <c r="C98" s="152"/>
      <c r="D98" s="152"/>
      <c r="E98" s="152"/>
      <c r="F98" s="152"/>
      <c r="G98" s="152"/>
      <c r="H98" s="152"/>
      <c r="I98" s="153"/>
    </row>
    <row r="99" spans="1:9" s="154" customFormat="1">
      <c r="A99" s="152"/>
      <c r="B99" s="152"/>
      <c r="C99" s="152"/>
      <c r="D99" s="152"/>
      <c r="E99" s="152"/>
      <c r="F99" s="152"/>
      <c r="G99" s="152"/>
      <c r="H99" s="152"/>
      <c r="I99" s="153"/>
    </row>
    <row r="100" spans="1:9" s="154" customFormat="1">
      <c r="A100" s="152"/>
      <c r="B100" s="152"/>
      <c r="C100" s="152"/>
      <c r="D100" s="152"/>
      <c r="E100" s="152"/>
      <c r="F100" s="152"/>
      <c r="G100" s="152"/>
      <c r="H100" s="152"/>
      <c r="I100" s="153"/>
    </row>
    <row r="101" spans="1:9" s="154" customFormat="1">
      <c r="A101" s="152"/>
      <c r="B101" s="152"/>
      <c r="C101" s="152"/>
      <c r="D101" s="152"/>
      <c r="E101" s="152"/>
      <c r="F101" s="152"/>
      <c r="G101" s="152"/>
      <c r="H101" s="152"/>
      <c r="I101" s="153"/>
    </row>
    <row r="102" spans="1:9" s="154" customFormat="1">
      <c r="A102" s="152"/>
      <c r="B102" s="152"/>
      <c r="C102" s="152"/>
      <c r="D102" s="152"/>
      <c r="E102" s="152"/>
      <c r="F102" s="152"/>
      <c r="G102" s="152"/>
      <c r="H102" s="152"/>
      <c r="I102" s="153"/>
    </row>
    <row r="103" spans="1:9" s="154" customFormat="1">
      <c r="A103" s="152"/>
      <c r="B103" s="152"/>
      <c r="C103" s="152"/>
      <c r="D103" s="152"/>
      <c r="E103" s="152"/>
      <c r="F103" s="152"/>
      <c r="G103" s="152"/>
      <c r="H103" s="152"/>
      <c r="I103" s="153"/>
    </row>
    <row r="104" spans="1:9" s="154" customFormat="1">
      <c r="A104" s="152"/>
      <c r="B104" s="152"/>
      <c r="C104" s="152"/>
      <c r="D104" s="152"/>
      <c r="E104" s="152"/>
      <c r="F104" s="152"/>
      <c r="G104" s="152"/>
      <c r="H104" s="152"/>
      <c r="I104" s="153"/>
    </row>
    <row r="105" spans="1:9" s="154" customFormat="1">
      <c r="A105" s="152"/>
      <c r="B105" s="152"/>
      <c r="C105" s="152"/>
      <c r="D105" s="152"/>
      <c r="E105" s="152"/>
      <c r="F105" s="152"/>
      <c r="G105" s="152"/>
      <c r="H105" s="152"/>
      <c r="I105" s="153"/>
    </row>
    <row r="106" spans="1:9" s="154" customFormat="1">
      <c r="A106" s="152"/>
      <c r="B106" s="152"/>
      <c r="C106" s="152"/>
      <c r="D106" s="152"/>
      <c r="E106" s="152"/>
      <c r="F106" s="152"/>
      <c r="G106" s="152"/>
      <c r="H106" s="152"/>
      <c r="I106" s="153"/>
    </row>
    <row r="107" spans="1:9" s="154" customFormat="1">
      <c r="A107" s="152"/>
      <c r="B107" s="152"/>
      <c r="C107" s="152"/>
      <c r="D107" s="152"/>
      <c r="E107" s="152"/>
      <c r="F107" s="152"/>
      <c r="G107" s="152"/>
      <c r="H107" s="152"/>
      <c r="I107" s="153"/>
    </row>
    <row r="108" spans="1:9" s="154" customFormat="1">
      <c r="A108" s="152"/>
      <c r="B108" s="152"/>
      <c r="C108" s="152"/>
      <c r="D108" s="152"/>
      <c r="E108" s="152"/>
      <c r="F108" s="152"/>
      <c r="G108" s="152"/>
      <c r="H108" s="152"/>
      <c r="I108" s="153"/>
    </row>
    <row r="109" spans="1:9" s="154" customFormat="1">
      <c r="A109" s="152"/>
      <c r="B109" s="152"/>
      <c r="C109" s="152"/>
      <c r="D109" s="152"/>
      <c r="E109" s="152"/>
      <c r="F109" s="152"/>
      <c r="G109" s="152"/>
      <c r="H109" s="152"/>
      <c r="I109" s="153"/>
    </row>
    <row r="110" spans="1:9" s="154" customFormat="1">
      <c r="A110" s="152"/>
      <c r="B110" s="152"/>
      <c r="C110" s="152"/>
      <c r="D110" s="152"/>
      <c r="E110" s="152"/>
      <c r="F110" s="152"/>
      <c r="G110" s="152"/>
      <c r="H110" s="152"/>
      <c r="I110" s="153"/>
    </row>
    <row r="111" spans="1:9" s="154" customFormat="1">
      <c r="A111" s="152"/>
      <c r="B111" s="152"/>
      <c r="C111" s="152"/>
      <c r="D111" s="152"/>
      <c r="E111" s="152"/>
      <c r="F111" s="152"/>
      <c r="G111" s="152"/>
      <c r="H111" s="152"/>
      <c r="I111" s="153"/>
    </row>
    <row r="112" spans="1:9" s="154" customFormat="1">
      <c r="A112" s="152"/>
      <c r="B112" s="152"/>
      <c r="C112" s="152"/>
      <c r="D112" s="152"/>
      <c r="E112" s="152"/>
      <c r="F112" s="152"/>
      <c r="G112" s="152"/>
      <c r="H112" s="152"/>
      <c r="I112" s="153"/>
    </row>
    <row r="113" spans="1:9" s="154" customFormat="1">
      <c r="A113" s="152"/>
      <c r="B113" s="152"/>
      <c r="C113" s="152"/>
      <c r="D113" s="152"/>
      <c r="E113" s="152"/>
      <c r="F113" s="152"/>
      <c r="G113" s="152"/>
      <c r="H113" s="152"/>
      <c r="I113" s="153"/>
    </row>
    <row r="114" spans="1:9" s="154" customFormat="1">
      <c r="A114" s="152"/>
      <c r="B114" s="152"/>
      <c r="C114" s="152"/>
      <c r="D114" s="152"/>
      <c r="E114" s="152"/>
      <c r="F114" s="152"/>
      <c r="G114" s="152"/>
      <c r="H114" s="152"/>
      <c r="I114" s="153"/>
    </row>
    <row r="115" spans="1:9" s="154" customFormat="1">
      <c r="A115" s="152"/>
      <c r="B115" s="152"/>
      <c r="C115" s="152"/>
      <c r="D115" s="152"/>
      <c r="E115" s="152"/>
      <c r="F115" s="152"/>
      <c r="G115" s="152"/>
      <c r="H115" s="152"/>
      <c r="I115" s="153"/>
    </row>
    <row r="116" spans="1:9" s="154" customFormat="1">
      <c r="A116" s="152"/>
      <c r="B116" s="152"/>
      <c r="C116" s="152"/>
      <c r="D116" s="152"/>
      <c r="E116" s="152"/>
      <c r="F116" s="152"/>
      <c r="G116" s="152"/>
      <c r="H116" s="152"/>
      <c r="I116" s="153"/>
    </row>
    <row r="117" spans="1:9" s="154" customFormat="1">
      <c r="A117" s="152"/>
      <c r="B117" s="152"/>
      <c r="C117" s="152"/>
      <c r="D117" s="152"/>
      <c r="E117" s="152"/>
      <c r="F117" s="152"/>
      <c r="G117" s="152"/>
      <c r="H117" s="152"/>
      <c r="I117" s="153"/>
    </row>
    <row r="118" spans="1:9" s="154" customFormat="1">
      <c r="A118" s="152"/>
      <c r="B118" s="152"/>
      <c r="C118" s="152"/>
      <c r="D118" s="152"/>
      <c r="E118" s="152"/>
      <c r="F118" s="152"/>
      <c r="G118" s="152"/>
      <c r="H118" s="152"/>
      <c r="I118" s="153"/>
    </row>
    <row r="119" spans="1:9" s="154" customFormat="1">
      <c r="A119" s="152"/>
      <c r="B119" s="152"/>
      <c r="C119" s="152"/>
      <c r="D119" s="152"/>
      <c r="E119" s="152"/>
      <c r="F119" s="152"/>
      <c r="G119" s="152"/>
      <c r="H119" s="152"/>
      <c r="I119" s="153"/>
    </row>
    <row r="120" spans="1:9" s="154" customFormat="1">
      <c r="A120" s="152"/>
      <c r="B120" s="152"/>
      <c r="C120" s="152"/>
      <c r="D120" s="152"/>
      <c r="E120" s="152"/>
      <c r="F120" s="152"/>
      <c r="G120" s="152"/>
      <c r="H120" s="152"/>
      <c r="I120" s="153"/>
    </row>
    <row r="121" spans="1:9" s="154" customFormat="1">
      <c r="A121" s="152"/>
      <c r="B121" s="152"/>
      <c r="C121" s="152"/>
      <c r="D121" s="152"/>
      <c r="E121" s="152"/>
      <c r="F121" s="152"/>
      <c r="G121" s="152"/>
      <c r="H121" s="152"/>
      <c r="I121" s="153"/>
    </row>
    <row r="122" spans="1:9" s="154" customFormat="1">
      <c r="A122" s="152"/>
      <c r="B122" s="152"/>
      <c r="C122" s="152"/>
      <c r="D122" s="152"/>
      <c r="E122" s="152"/>
      <c r="F122" s="152"/>
      <c r="G122" s="152"/>
      <c r="H122" s="152"/>
      <c r="I122" s="153"/>
    </row>
    <row r="123" spans="1:9" s="154" customFormat="1">
      <c r="A123" s="152"/>
      <c r="B123" s="152"/>
      <c r="C123" s="152"/>
      <c r="D123" s="152"/>
      <c r="E123" s="152"/>
      <c r="F123" s="152"/>
      <c r="G123" s="152"/>
      <c r="H123" s="152"/>
      <c r="I123" s="153"/>
    </row>
    <row r="124" spans="1:9" s="154" customFormat="1">
      <c r="A124" s="152"/>
      <c r="B124" s="152"/>
      <c r="C124" s="152"/>
      <c r="D124" s="152"/>
      <c r="E124" s="152"/>
      <c r="F124" s="152"/>
      <c r="G124" s="152"/>
      <c r="H124" s="152"/>
      <c r="I124" s="153"/>
    </row>
    <row r="125" spans="1:9" s="154" customFormat="1">
      <c r="A125" s="152"/>
      <c r="B125" s="152"/>
      <c r="C125" s="152"/>
      <c r="D125" s="152"/>
      <c r="E125" s="152"/>
      <c r="F125" s="152"/>
      <c r="G125" s="152"/>
      <c r="H125" s="152"/>
      <c r="I125" s="153"/>
    </row>
    <row r="126" spans="1:9" s="154" customFormat="1">
      <c r="A126" s="152"/>
      <c r="B126" s="152"/>
      <c r="C126" s="152"/>
      <c r="D126" s="152"/>
      <c r="E126" s="152"/>
      <c r="F126" s="152"/>
      <c r="G126" s="152"/>
      <c r="H126" s="152"/>
      <c r="I126" s="153"/>
    </row>
    <row r="127" spans="1:9" s="154" customFormat="1">
      <c r="A127" s="152"/>
      <c r="B127" s="152"/>
      <c r="C127" s="152"/>
      <c r="D127" s="152"/>
      <c r="E127" s="152"/>
      <c r="F127" s="152"/>
      <c r="G127" s="152"/>
      <c r="H127" s="152"/>
      <c r="I127" s="153"/>
    </row>
    <row r="128" spans="1:9" s="154" customFormat="1">
      <c r="A128" s="152"/>
      <c r="B128" s="152"/>
      <c r="C128" s="152"/>
      <c r="D128" s="152"/>
      <c r="E128" s="152"/>
      <c r="F128" s="152"/>
      <c r="G128" s="152"/>
      <c r="H128" s="152"/>
      <c r="I128" s="153"/>
    </row>
    <row r="129" spans="1:9" s="154" customFormat="1">
      <c r="A129" s="152"/>
      <c r="B129" s="152"/>
      <c r="C129" s="152"/>
      <c r="D129" s="152"/>
      <c r="E129" s="152"/>
      <c r="F129" s="152"/>
      <c r="G129" s="152"/>
      <c r="H129" s="152"/>
      <c r="I129" s="153"/>
    </row>
    <row r="130" spans="1:9" s="154" customFormat="1">
      <c r="A130" s="152"/>
      <c r="B130" s="152"/>
      <c r="C130" s="152"/>
      <c r="D130" s="152"/>
      <c r="E130" s="152"/>
      <c r="F130" s="152"/>
      <c r="G130" s="152"/>
      <c r="H130" s="152"/>
      <c r="I130" s="153"/>
    </row>
    <row r="131" spans="1:9" s="154" customFormat="1">
      <c r="A131" s="152"/>
      <c r="B131" s="152"/>
      <c r="C131" s="152"/>
      <c r="D131" s="152"/>
      <c r="E131" s="152"/>
      <c r="F131" s="152"/>
      <c r="G131" s="152"/>
      <c r="H131" s="152"/>
      <c r="I131" s="153"/>
    </row>
    <row r="132" spans="1:9" s="154" customFormat="1">
      <c r="A132" s="152"/>
      <c r="B132" s="152"/>
      <c r="C132" s="152"/>
      <c r="D132" s="152"/>
      <c r="E132" s="152"/>
      <c r="F132" s="152"/>
      <c r="G132" s="152"/>
      <c r="H132" s="152"/>
      <c r="I132" s="153"/>
    </row>
    <row r="133" spans="1:9" s="154" customFormat="1">
      <c r="A133" s="152"/>
      <c r="B133" s="152"/>
      <c r="C133" s="152"/>
      <c r="D133" s="152"/>
      <c r="E133" s="152"/>
      <c r="F133" s="152"/>
      <c r="G133" s="152"/>
      <c r="H133" s="152"/>
      <c r="I133" s="153"/>
    </row>
    <row r="134" spans="1:9" s="154" customFormat="1">
      <c r="A134" s="152"/>
      <c r="B134" s="152"/>
      <c r="C134" s="152"/>
      <c r="D134" s="152"/>
      <c r="E134" s="152"/>
      <c r="F134" s="152"/>
      <c r="G134" s="152"/>
      <c r="H134" s="152"/>
      <c r="I134" s="153"/>
    </row>
    <row r="135" spans="1:9" s="154" customFormat="1">
      <c r="A135" s="152"/>
      <c r="B135" s="152"/>
      <c r="C135" s="152"/>
      <c r="D135" s="152"/>
      <c r="E135" s="152"/>
      <c r="F135" s="152"/>
      <c r="G135" s="152"/>
      <c r="H135" s="152"/>
      <c r="I135" s="153"/>
    </row>
    <row r="136" spans="1:9" s="154" customFormat="1">
      <c r="A136" s="152"/>
      <c r="B136" s="152"/>
      <c r="C136" s="152"/>
      <c r="D136" s="152"/>
      <c r="E136" s="152"/>
      <c r="F136" s="152"/>
      <c r="G136" s="152"/>
      <c r="H136" s="152"/>
      <c r="I136" s="153"/>
    </row>
    <row r="137" spans="1:9" s="154" customFormat="1">
      <c r="A137" s="152"/>
      <c r="B137" s="152"/>
      <c r="C137" s="152"/>
      <c r="D137" s="152"/>
      <c r="E137" s="152"/>
      <c r="F137" s="152"/>
      <c r="G137" s="152"/>
      <c r="H137" s="152"/>
      <c r="I137" s="153"/>
    </row>
    <row r="138" spans="1:9" s="154" customFormat="1">
      <c r="A138" s="152"/>
      <c r="B138" s="152"/>
      <c r="C138" s="152"/>
      <c r="D138" s="152"/>
      <c r="E138" s="152"/>
      <c r="F138" s="152"/>
      <c r="G138" s="152"/>
      <c r="H138" s="152"/>
      <c r="I138" s="153"/>
    </row>
    <row r="139" spans="1:9" s="154" customFormat="1">
      <c r="A139" s="152"/>
      <c r="B139" s="152"/>
      <c r="C139" s="152"/>
      <c r="D139" s="152"/>
      <c r="E139" s="152"/>
      <c r="F139" s="152"/>
      <c r="G139" s="152"/>
      <c r="H139" s="152"/>
      <c r="I139" s="153"/>
    </row>
    <row r="140" spans="1:9" s="154" customFormat="1">
      <c r="A140" s="152"/>
      <c r="B140" s="152"/>
      <c r="C140" s="152"/>
      <c r="D140" s="152"/>
      <c r="E140" s="152"/>
      <c r="F140" s="152"/>
      <c r="G140" s="152"/>
      <c r="H140" s="152"/>
      <c r="I140" s="153"/>
    </row>
    <row r="141" spans="1:9" s="154" customFormat="1">
      <c r="A141" s="152"/>
      <c r="B141" s="152"/>
      <c r="C141" s="152"/>
      <c r="D141" s="152"/>
      <c r="E141" s="152"/>
      <c r="F141" s="152"/>
      <c r="G141" s="152"/>
      <c r="H141" s="152"/>
      <c r="I141" s="153"/>
    </row>
    <row r="142" spans="1:9" s="154" customFormat="1">
      <c r="A142" s="152"/>
      <c r="B142" s="152"/>
      <c r="C142" s="152"/>
      <c r="D142" s="152"/>
      <c r="E142" s="152"/>
      <c r="F142" s="152"/>
      <c r="G142" s="152"/>
      <c r="H142" s="152"/>
      <c r="I142" s="153"/>
    </row>
    <row r="143" spans="1:9" s="154" customFormat="1">
      <c r="A143" s="152"/>
      <c r="B143" s="152"/>
      <c r="C143" s="152"/>
      <c r="D143" s="152"/>
      <c r="E143" s="152"/>
      <c r="F143" s="152"/>
      <c r="G143" s="152"/>
      <c r="H143" s="152"/>
      <c r="I143" s="153"/>
    </row>
    <row r="144" spans="1:9" s="154" customFormat="1">
      <c r="A144" s="152"/>
      <c r="B144" s="152"/>
      <c r="C144" s="152"/>
      <c r="D144" s="152"/>
      <c r="E144" s="152"/>
      <c r="F144" s="152"/>
      <c r="G144" s="152"/>
      <c r="H144" s="152"/>
      <c r="I144" s="153"/>
    </row>
    <row r="145" spans="1:9" s="154" customFormat="1">
      <c r="A145" s="152"/>
      <c r="B145" s="152"/>
      <c r="C145" s="152"/>
      <c r="D145" s="152"/>
      <c r="E145" s="152"/>
      <c r="F145" s="152"/>
      <c r="G145" s="152"/>
      <c r="H145" s="152"/>
      <c r="I145" s="153"/>
    </row>
    <row r="146" spans="1:9" s="154" customFormat="1">
      <c r="A146" s="152"/>
      <c r="B146" s="152"/>
      <c r="C146" s="152"/>
      <c r="D146" s="152"/>
      <c r="E146" s="152"/>
      <c r="F146" s="152"/>
      <c r="G146" s="152"/>
      <c r="H146" s="152"/>
      <c r="I146" s="153"/>
    </row>
    <row r="147" spans="1:9" s="154" customFormat="1">
      <c r="A147" s="152"/>
      <c r="B147" s="152"/>
      <c r="C147" s="152"/>
      <c r="D147" s="152"/>
      <c r="E147" s="152"/>
      <c r="F147" s="152"/>
      <c r="G147" s="152"/>
      <c r="H147" s="152"/>
      <c r="I147" s="153"/>
    </row>
    <row r="148" spans="1:9" s="154" customFormat="1">
      <c r="A148" s="152"/>
      <c r="B148" s="152"/>
      <c r="C148" s="152"/>
      <c r="D148" s="152"/>
      <c r="E148" s="152"/>
      <c r="F148" s="152"/>
      <c r="G148" s="152"/>
      <c r="H148" s="152"/>
      <c r="I148" s="153"/>
    </row>
    <row r="149" spans="1:9" s="154" customFormat="1">
      <c r="A149" s="152"/>
      <c r="B149" s="152"/>
      <c r="C149" s="152"/>
      <c r="D149" s="152"/>
      <c r="E149" s="152"/>
      <c r="F149" s="152"/>
      <c r="G149" s="152"/>
      <c r="H149" s="152"/>
      <c r="I149" s="153"/>
    </row>
    <row r="150" spans="1:9" s="154" customFormat="1">
      <c r="A150" s="152"/>
      <c r="B150" s="152"/>
      <c r="C150" s="152"/>
      <c r="D150" s="152"/>
      <c r="E150" s="152"/>
      <c r="F150" s="152"/>
      <c r="G150" s="152"/>
      <c r="H150" s="152"/>
      <c r="I150" s="153"/>
    </row>
    <row r="151" spans="1:9" s="154" customFormat="1">
      <c r="A151" s="152"/>
      <c r="B151" s="152"/>
      <c r="C151" s="152"/>
      <c r="D151" s="152"/>
      <c r="E151" s="152"/>
      <c r="F151" s="152"/>
      <c r="G151" s="152"/>
      <c r="H151" s="152"/>
      <c r="I151" s="153"/>
    </row>
    <row r="152" spans="1:9" s="154" customFormat="1">
      <c r="A152" s="152"/>
      <c r="B152" s="152"/>
      <c r="C152" s="152"/>
      <c r="D152" s="152"/>
      <c r="E152" s="152"/>
      <c r="F152" s="152"/>
      <c r="G152" s="152"/>
      <c r="H152" s="152"/>
      <c r="I152" s="153"/>
    </row>
    <row r="153" spans="1:9" s="154" customFormat="1">
      <c r="A153" s="152"/>
      <c r="B153" s="152"/>
      <c r="C153" s="152"/>
      <c r="D153" s="152"/>
      <c r="E153" s="152"/>
      <c r="F153" s="152"/>
      <c r="G153" s="152"/>
      <c r="H153" s="152"/>
      <c r="I153" s="153"/>
    </row>
    <row r="154" spans="1:9" s="154" customFormat="1">
      <c r="A154" s="152"/>
      <c r="B154" s="152"/>
      <c r="C154" s="152"/>
      <c r="D154" s="152"/>
      <c r="E154" s="152"/>
      <c r="F154" s="152"/>
      <c r="G154" s="152"/>
      <c r="H154" s="152"/>
      <c r="I154" s="153"/>
    </row>
    <row r="155" spans="1:9" s="154" customFormat="1">
      <c r="A155" s="152"/>
      <c r="B155" s="152"/>
      <c r="C155" s="152"/>
      <c r="D155" s="152"/>
      <c r="E155" s="152"/>
      <c r="F155" s="152"/>
      <c r="G155" s="152"/>
      <c r="H155" s="152"/>
      <c r="I155" s="153"/>
    </row>
    <row r="156" spans="1:9" s="154" customFormat="1">
      <c r="A156" s="152"/>
      <c r="B156" s="152"/>
      <c r="C156" s="152"/>
      <c r="D156" s="152"/>
      <c r="E156" s="152"/>
      <c r="F156" s="152"/>
      <c r="G156" s="152"/>
      <c r="H156" s="152"/>
      <c r="I156" s="153"/>
    </row>
    <row r="157" spans="1:9" s="154" customFormat="1">
      <c r="A157" s="152"/>
      <c r="B157" s="152"/>
      <c r="C157" s="152"/>
      <c r="D157" s="152"/>
      <c r="E157" s="152"/>
      <c r="F157" s="152"/>
      <c r="G157" s="152"/>
      <c r="H157" s="152"/>
      <c r="I157" s="153"/>
    </row>
    <row r="158" spans="1:9" s="154" customFormat="1">
      <c r="A158" s="152"/>
      <c r="B158" s="152"/>
      <c r="C158" s="152"/>
      <c r="D158" s="152"/>
      <c r="E158" s="152"/>
      <c r="F158" s="152"/>
      <c r="G158" s="152"/>
      <c r="H158" s="152"/>
      <c r="I158" s="153"/>
    </row>
    <row r="159" spans="1:9" s="154" customFormat="1">
      <c r="A159" s="152"/>
      <c r="B159" s="152"/>
      <c r="C159" s="152"/>
      <c r="D159" s="152"/>
      <c r="E159" s="152"/>
      <c r="F159" s="152"/>
      <c r="G159" s="152"/>
      <c r="H159" s="152"/>
      <c r="I159" s="153"/>
    </row>
    <row r="160" spans="1:9" s="154" customFormat="1">
      <c r="A160" s="152"/>
      <c r="B160" s="152"/>
      <c r="C160" s="152"/>
      <c r="D160" s="152"/>
      <c r="E160" s="152"/>
      <c r="F160" s="152"/>
      <c r="G160" s="152"/>
      <c r="H160" s="152"/>
      <c r="I160" s="153"/>
    </row>
    <row r="161" spans="1:9" s="154" customFormat="1">
      <c r="A161" s="152"/>
      <c r="B161" s="152"/>
      <c r="C161" s="152"/>
      <c r="D161" s="152"/>
      <c r="E161" s="152"/>
      <c r="F161" s="152"/>
      <c r="G161" s="152"/>
      <c r="H161" s="152"/>
      <c r="I161" s="153"/>
    </row>
    <row r="162" spans="1:9" s="154" customFormat="1">
      <c r="A162" s="152"/>
      <c r="B162" s="152"/>
      <c r="C162" s="152"/>
      <c r="D162" s="152"/>
      <c r="E162" s="152"/>
      <c r="F162" s="152"/>
      <c r="G162" s="152"/>
      <c r="H162" s="152"/>
      <c r="I162" s="153"/>
    </row>
    <row r="163" spans="1:9" s="154" customFormat="1">
      <c r="A163" s="152"/>
      <c r="B163" s="152"/>
      <c r="C163" s="152"/>
      <c r="D163" s="152"/>
      <c r="E163" s="152"/>
      <c r="F163" s="152"/>
      <c r="G163" s="152"/>
      <c r="H163" s="152"/>
      <c r="I163" s="153"/>
    </row>
    <row r="164" spans="1:9" s="154" customFormat="1">
      <c r="A164" s="152"/>
      <c r="B164" s="152"/>
      <c r="C164" s="152"/>
      <c r="D164" s="152"/>
      <c r="E164" s="152"/>
      <c r="F164" s="152"/>
      <c r="G164" s="152"/>
      <c r="H164" s="152"/>
      <c r="I164" s="153"/>
    </row>
    <row r="165" spans="1:9" s="154" customFormat="1">
      <c r="A165" s="152"/>
      <c r="B165" s="152"/>
      <c r="C165" s="152"/>
      <c r="D165" s="152"/>
      <c r="E165" s="152"/>
      <c r="F165" s="152"/>
      <c r="G165" s="152"/>
      <c r="H165" s="152"/>
      <c r="I165" s="153"/>
    </row>
    <row r="166" spans="1:9" s="154" customFormat="1">
      <c r="A166" s="152"/>
      <c r="B166" s="152"/>
      <c r="C166" s="152"/>
      <c r="D166" s="152"/>
      <c r="E166" s="152"/>
      <c r="F166" s="152"/>
      <c r="G166" s="152"/>
      <c r="H166" s="152"/>
      <c r="I166" s="153"/>
    </row>
    <row r="167" spans="1:9" s="154" customFormat="1">
      <c r="A167" s="152"/>
      <c r="B167" s="152"/>
      <c r="C167" s="152"/>
      <c r="D167" s="152"/>
      <c r="E167" s="152"/>
      <c r="F167" s="152"/>
      <c r="G167" s="152"/>
      <c r="H167" s="152"/>
      <c r="I167" s="153"/>
    </row>
    <row r="168" spans="1:9" s="154" customFormat="1">
      <c r="A168" s="152"/>
      <c r="B168" s="152"/>
      <c r="C168" s="152"/>
      <c r="D168" s="152"/>
      <c r="E168" s="152"/>
      <c r="F168" s="152"/>
      <c r="G168" s="152"/>
      <c r="H168" s="152"/>
      <c r="I168" s="153"/>
    </row>
    <row r="169" spans="1:9" s="154" customFormat="1">
      <c r="A169" s="152"/>
      <c r="B169" s="152"/>
      <c r="C169" s="152"/>
      <c r="D169" s="152"/>
      <c r="E169" s="152"/>
      <c r="F169" s="152"/>
      <c r="G169" s="152"/>
      <c r="H169" s="152"/>
      <c r="I169" s="153"/>
    </row>
    <row r="170" spans="1:9" s="154" customFormat="1">
      <c r="A170" s="152"/>
      <c r="B170" s="152"/>
      <c r="C170" s="152"/>
      <c r="D170" s="152"/>
      <c r="E170" s="152"/>
      <c r="F170" s="152"/>
      <c r="G170" s="152"/>
      <c r="H170" s="152"/>
      <c r="I170" s="153"/>
    </row>
    <row r="171" spans="1:9" s="154" customFormat="1">
      <c r="A171" s="152"/>
      <c r="B171" s="152"/>
      <c r="C171" s="152"/>
      <c r="D171" s="152"/>
      <c r="E171" s="152"/>
      <c r="F171" s="152"/>
      <c r="G171" s="152"/>
      <c r="H171" s="152"/>
      <c r="I171" s="153"/>
    </row>
    <row r="172" spans="1:9" s="154" customFormat="1">
      <c r="A172" s="152"/>
      <c r="B172" s="152"/>
      <c r="C172" s="152"/>
      <c r="D172" s="152"/>
      <c r="E172" s="152"/>
      <c r="F172" s="152"/>
      <c r="G172" s="152"/>
      <c r="H172" s="152"/>
      <c r="I172" s="153"/>
    </row>
    <row r="173" spans="1:9" s="154" customFormat="1">
      <c r="A173" s="152"/>
      <c r="B173" s="152"/>
      <c r="C173" s="152"/>
      <c r="D173" s="152"/>
      <c r="E173" s="152"/>
      <c r="F173" s="152"/>
      <c r="G173" s="152"/>
      <c r="H173" s="152"/>
      <c r="I173" s="153"/>
    </row>
    <row r="174" spans="1:9" s="154" customFormat="1">
      <c r="A174" s="152"/>
      <c r="B174" s="152"/>
      <c r="C174" s="152"/>
      <c r="D174" s="152"/>
      <c r="E174" s="152"/>
      <c r="F174" s="152"/>
      <c r="G174" s="152"/>
      <c r="H174" s="152"/>
      <c r="I174" s="153"/>
    </row>
    <row r="175" spans="1:9" s="154" customFormat="1">
      <c r="A175" s="152"/>
      <c r="B175" s="152"/>
      <c r="C175" s="152"/>
      <c r="D175" s="152"/>
      <c r="E175" s="152"/>
      <c r="F175" s="152"/>
      <c r="G175" s="152"/>
      <c r="H175" s="152"/>
      <c r="I175" s="153"/>
    </row>
    <row r="176" spans="1:9" s="154" customFormat="1">
      <c r="A176" s="152"/>
      <c r="B176" s="152"/>
      <c r="C176" s="152"/>
      <c r="D176" s="152"/>
      <c r="E176" s="152"/>
      <c r="F176" s="152"/>
      <c r="G176" s="152"/>
      <c r="H176" s="152"/>
      <c r="I176" s="153"/>
    </row>
    <row r="177" spans="1:9" s="154" customFormat="1">
      <c r="A177" s="152"/>
      <c r="B177" s="152"/>
      <c r="C177" s="152"/>
      <c r="D177" s="152"/>
      <c r="E177" s="152"/>
      <c r="F177" s="152"/>
      <c r="G177" s="152"/>
      <c r="H177" s="152"/>
      <c r="I177" s="153"/>
    </row>
    <row r="178" spans="1:9" s="154" customFormat="1">
      <c r="A178" s="152"/>
      <c r="B178" s="152"/>
      <c r="C178" s="152"/>
      <c r="D178" s="152"/>
      <c r="E178" s="152"/>
      <c r="F178" s="152"/>
      <c r="G178" s="152"/>
      <c r="H178" s="152"/>
      <c r="I178" s="153"/>
    </row>
    <row r="179" spans="1:9" s="154" customFormat="1">
      <c r="A179" s="152"/>
      <c r="B179" s="152"/>
      <c r="C179" s="152"/>
      <c r="D179" s="152"/>
      <c r="E179" s="152"/>
      <c r="F179" s="152"/>
      <c r="G179" s="152"/>
      <c r="H179" s="152"/>
      <c r="I179" s="153"/>
    </row>
    <row r="180" spans="1:9" s="154" customFormat="1">
      <c r="A180" s="152"/>
      <c r="B180" s="152"/>
      <c r="C180" s="152"/>
      <c r="D180" s="152"/>
      <c r="E180" s="152"/>
      <c r="F180" s="152"/>
      <c r="G180" s="152"/>
      <c r="H180" s="152"/>
      <c r="I180" s="153"/>
    </row>
    <row r="181" spans="1:9" s="154" customFormat="1">
      <c r="A181" s="152"/>
      <c r="B181" s="152"/>
      <c r="C181" s="152"/>
      <c r="D181" s="152"/>
      <c r="E181" s="152"/>
      <c r="F181" s="152"/>
      <c r="G181" s="152"/>
      <c r="H181" s="152"/>
      <c r="I181" s="153"/>
    </row>
    <row r="182" spans="1:9" s="154" customFormat="1">
      <c r="A182" s="152"/>
      <c r="B182" s="152"/>
      <c r="C182" s="152"/>
      <c r="D182" s="152"/>
      <c r="E182" s="152"/>
      <c r="F182" s="152"/>
      <c r="G182" s="152"/>
      <c r="H182" s="152"/>
      <c r="I182" s="153"/>
    </row>
    <row r="183" spans="1:9" s="154" customFormat="1">
      <c r="A183" s="152"/>
      <c r="B183" s="152"/>
      <c r="C183" s="152"/>
      <c r="D183" s="152"/>
      <c r="E183" s="152"/>
      <c r="F183" s="152"/>
      <c r="G183" s="152"/>
      <c r="H183" s="152"/>
      <c r="I183" s="153"/>
    </row>
    <row r="184" spans="1:9" s="154" customFormat="1">
      <c r="A184" s="152"/>
      <c r="B184" s="152"/>
      <c r="C184" s="152"/>
      <c r="D184" s="152"/>
      <c r="E184" s="152"/>
      <c r="F184" s="152"/>
      <c r="G184" s="152"/>
      <c r="H184" s="152"/>
      <c r="I184" s="153"/>
    </row>
    <row r="185" spans="1:9" s="154" customFormat="1">
      <c r="A185" s="152"/>
      <c r="B185" s="152"/>
      <c r="C185" s="152"/>
      <c r="D185" s="152"/>
      <c r="E185" s="152"/>
      <c r="F185" s="152"/>
      <c r="G185" s="152"/>
      <c r="H185" s="152"/>
      <c r="I185" s="153"/>
    </row>
    <row r="186" spans="1:9" s="154" customFormat="1">
      <c r="A186" s="152"/>
      <c r="B186" s="152"/>
      <c r="C186" s="152"/>
      <c r="D186" s="152"/>
      <c r="E186" s="152"/>
      <c r="F186" s="152"/>
      <c r="G186" s="152"/>
      <c r="H186" s="152"/>
      <c r="I186" s="153"/>
    </row>
    <row r="187" spans="1:9" s="154" customFormat="1">
      <c r="A187" s="152"/>
      <c r="B187" s="152"/>
      <c r="C187" s="152"/>
      <c r="D187" s="152"/>
      <c r="E187" s="152"/>
      <c r="F187" s="152"/>
      <c r="G187" s="152"/>
      <c r="H187" s="152"/>
      <c r="I187" s="153"/>
    </row>
    <row r="188" spans="1:9" s="154" customFormat="1">
      <c r="A188" s="152"/>
      <c r="B188" s="152"/>
      <c r="C188" s="152"/>
      <c r="D188" s="152"/>
      <c r="E188" s="152"/>
      <c r="F188" s="152"/>
      <c r="G188" s="152"/>
      <c r="H188" s="152"/>
      <c r="I188" s="153"/>
    </row>
    <row r="189" spans="1:9" s="154" customFormat="1">
      <c r="A189" s="152"/>
      <c r="B189" s="152"/>
      <c r="C189" s="152"/>
      <c r="D189" s="152"/>
      <c r="E189" s="152"/>
      <c r="F189" s="152"/>
      <c r="G189" s="152"/>
      <c r="H189" s="152"/>
      <c r="I189" s="153"/>
    </row>
    <row r="190" spans="1:9" s="154" customFormat="1">
      <c r="A190" s="152"/>
      <c r="B190" s="152"/>
      <c r="C190" s="152"/>
      <c r="D190" s="152"/>
      <c r="E190" s="152"/>
      <c r="F190" s="152"/>
      <c r="G190" s="152"/>
      <c r="H190" s="152"/>
      <c r="I190" s="153"/>
    </row>
    <row r="191" spans="1:9" s="154" customFormat="1">
      <c r="A191" s="152"/>
      <c r="B191" s="152"/>
      <c r="C191" s="152"/>
      <c r="D191" s="152"/>
      <c r="E191" s="152"/>
      <c r="F191" s="152"/>
      <c r="G191" s="152"/>
      <c r="H191" s="152"/>
      <c r="I191" s="153"/>
    </row>
    <row r="192" spans="1:9" s="154" customFormat="1">
      <c r="A192" s="152"/>
      <c r="B192" s="152"/>
      <c r="C192" s="152"/>
      <c r="D192" s="152"/>
      <c r="E192" s="152"/>
      <c r="F192" s="152"/>
      <c r="G192" s="152"/>
      <c r="H192" s="152"/>
      <c r="I192" s="153"/>
    </row>
    <row r="193" spans="1:9" s="154" customFormat="1">
      <c r="A193" s="152"/>
      <c r="B193" s="152"/>
      <c r="C193" s="152"/>
      <c r="D193" s="152"/>
      <c r="E193" s="152"/>
      <c r="F193" s="152"/>
      <c r="G193" s="152"/>
      <c r="H193" s="152"/>
      <c r="I193" s="153"/>
    </row>
    <row r="194" spans="1:9" s="154" customFormat="1">
      <c r="A194" s="152"/>
      <c r="B194" s="152"/>
      <c r="C194" s="152"/>
      <c r="D194" s="152"/>
      <c r="E194" s="152"/>
      <c r="F194" s="152"/>
      <c r="G194" s="152"/>
      <c r="H194" s="152"/>
      <c r="I194" s="153"/>
    </row>
    <row r="195" spans="1:9" s="154" customFormat="1">
      <c r="A195" s="152"/>
      <c r="B195" s="152"/>
      <c r="C195" s="152"/>
      <c r="D195" s="152"/>
      <c r="E195" s="152"/>
      <c r="F195" s="152"/>
      <c r="G195" s="152"/>
      <c r="H195" s="152"/>
      <c r="I195" s="153"/>
    </row>
    <row r="196" spans="1:9" s="154" customFormat="1">
      <c r="A196" s="152"/>
      <c r="B196" s="152"/>
      <c r="C196" s="152"/>
      <c r="D196" s="152"/>
      <c r="E196" s="152"/>
      <c r="F196" s="152"/>
      <c r="G196" s="152"/>
      <c r="H196" s="152"/>
      <c r="I196" s="153"/>
    </row>
    <row r="197" spans="1:9" s="154" customFormat="1">
      <c r="A197" s="152"/>
      <c r="B197" s="152"/>
      <c r="C197" s="152"/>
      <c r="D197" s="152"/>
      <c r="E197" s="152"/>
      <c r="F197" s="152"/>
      <c r="G197" s="152"/>
      <c r="H197" s="152"/>
      <c r="I197" s="153"/>
    </row>
    <row r="198" spans="1:9" s="154" customFormat="1">
      <c r="A198" s="152"/>
      <c r="B198" s="152"/>
      <c r="C198" s="152"/>
      <c r="D198" s="152"/>
      <c r="E198" s="152"/>
      <c r="F198" s="152"/>
      <c r="G198" s="152"/>
      <c r="H198" s="152"/>
      <c r="I198" s="153"/>
    </row>
    <row r="199" spans="1:9" s="154" customFormat="1">
      <c r="A199" s="152"/>
      <c r="B199" s="152"/>
      <c r="C199" s="152"/>
      <c r="D199" s="152"/>
      <c r="E199" s="152"/>
      <c r="F199" s="152"/>
      <c r="G199" s="152"/>
      <c r="H199" s="152"/>
      <c r="I199" s="153"/>
    </row>
    <row r="200" spans="1:9" s="154" customFormat="1">
      <c r="A200" s="152"/>
      <c r="B200" s="152"/>
      <c r="C200" s="152"/>
      <c r="D200" s="152"/>
      <c r="E200" s="152"/>
      <c r="F200" s="152"/>
      <c r="G200" s="152"/>
      <c r="H200" s="152"/>
      <c r="I200" s="153"/>
    </row>
    <row r="201" spans="1:9" s="154" customFormat="1">
      <c r="A201" s="152"/>
      <c r="B201" s="152"/>
      <c r="C201" s="152"/>
      <c r="D201" s="152"/>
      <c r="E201" s="152"/>
      <c r="F201" s="152"/>
      <c r="G201" s="152"/>
      <c r="H201" s="152"/>
      <c r="I201" s="153"/>
    </row>
    <row r="202" spans="1:9" s="154" customFormat="1">
      <c r="A202" s="152"/>
      <c r="B202" s="152"/>
      <c r="C202" s="152"/>
      <c r="D202" s="152"/>
      <c r="E202" s="152"/>
      <c r="F202" s="152"/>
      <c r="G202" s="152"/>
      <c r="H202" s="152"/>
      <c r="I202" s="153"/>
    </row>
    <row r="203" spans="1:9" s="154" customFormat="1">
      <c r="A203" s="152"/>
      <c r="B203" s="152"/>
      <c r="C203" s="152"/>
      <c r="D203" s="152"/>
      <c r="E203" s="152"/>
      <c r="F203" s="152"/>
      <c r="G203" s="152"/>
      <c r="H203" s="152"/>
      <c r="I203" s="153"/>
    </row>
    <row r="204" spans="1:9" s="154" customFormat="1">
      <c r="A204" s="152"/>
      <c r="B204" s="152"/>
      <c r="C204" s="152"/>
      <c r="D204" s="152"/>
      <c r="E204" s="152"/>
      <c r="F204" s="152"/>
      <c r="G204" s="152"/>
      <c r="H204" s="152"/>
      <c r="I204" s="153"/>
    </row>
    <row r="205" spans="1:9" s="154" customFormat="1">
      <c r="A205" s="152"/>
      <c r="B205" s="152"/>
      <c r="C205" s="152"/>
      <c r="D205" s="152"/>
      <c r="E205" s="152"/>
      <c r="F205" s="152"/>
      <c r="G205" s="152"/>
      <c r="H205" s="152"/>
      <c r="I205" s="153"/>
    </row>
    <row r="206" spans="1:9" s="154" customFormat="1">
      <c r="A206" s="152"/>
      <c r="B206" s="152"/>
      <c r="C206" s="152"/>
      <c r="D206" s="152"/>
      <c r="E206" s="152"/>
      <c r="F206" s="152"/>
      <c r="G206" s="152"/>
      <c r="H206" s="152"/>
      <c r="I206" s="153"/>
    </row>
    <row r="207" spans="1:9" s="154" customFormat="1">
      <c r="A207" s="152"/>
      <c r="B207" s="152"/>
      <c r="C207" s="152"/>
      <c r="D207" s="152"/>
      <c r="E207" s="152"/>
      <c r="F207" s="152"/>
      <c r="G207" s="152"/>
      <c r="H207" s="152"/>
      <c r="I207" s="153"/>
    </row>
    <row r="208" spans="1:9" s="154" customFormat="1">
      <c r="A208" s="152"/>
      <c r="B208" s="152"/>
      <c r="C208" s="152"/>
      <c r="D208" s="152"/>
      <c r="E208" s="152"/>
      <c r="F208" s="152"/>
      <c r="G208" s="152"/>
      <c r="H208" s="152"/>
      <c r="I208" s="153"/>
    </row>
    <row r="209" spans="1:9" s="154" customFormat="1">
      <c r="A209" s="152"/>
      <c r="B209" s="152"/>
      <c r="C209" s="152"/>
      <c r="D209" s="152"/>
      <c r="E209" s="152"/>
      <c r="F209" s="152"/>
      <c r="G209" s="152"/>
      <c r="H209" s="152"/>
      <c r="I209" s="153"/>
    </row>
    <row r="210" spans="1:9" s="154" customFormat="1">
      <c r="A210" s="152"/>
      <c r="B210" s="152"/>
      <c r="C210" s="152"/>
      <c r="D210" s="152"/>
      <c r="E210" s="152"/>
      <c r="F210" s="152"/>
      <c r="G210" s="152"/>
      <c r="H210" s="152"/>
      <c r="I210" s="153"/>
    </row>
    <row r="211" spans="1:9" s="154" customFormat="1">
      <c r="A211" s="152"/>
      <c r="B211" s="152"/>
      <c r="C211" s="152"/>
      <c r="D211" s="152"/>
      <c r="E211" s="152"/>
      <c r="F211" s="152"/>
      <c r="G211" s="152"/>
      <c r="H211" s="152"/>
      <c r="I211" s="153"/>
    </row>
    <row r="212" spans="1:9" s="154" customFormat="1">
      <c r="A212" s="152"/>
      <c r="B212" s="152"/>
      <c r="C212" s="152"/>
      <c r="D212" s="152"/>
      <c r="E212" s="152"/>
      <c r="F212" s="152"/>
      <c r="G212" s="152"/>
      <c r="H212" s="152"/>
      <c r="I212" s="153"/>
    </row>
    <row r="213" spans="1:9" s="154" customFormat="1">
      <c r="A213" s="152"/>
      <c r="B213" s="152"/>
      <c r="C213" s="152"/>
      <c r="D213" s="152"/>
      <c r="E213" s="152"/>
      <c r="F213" s="152"/>
      <c r="G213" s="152"/>
      <c r="H213" s="152"/>
      <c r="I213" s="153"/>
    </row>
    <row r="214" spans="1:9" s="154" customFormat="1">
      <c r="A214" s="152"/>
      <c r="B214" s="152"/>
      <c r="C214" s="152"/>
      <c r="D214" s="152"/>
      <c r="E214" s="152"/>
      <c r="F214" s="152"/>
      <c r="G214" s="152"/>
      <c r="H214" s="152"/>
      <c r="I214" s="153"/>
    </row>
    <row r="215" spans="1:9" s="154" customFormat="1">
      <c r="A215" s="152"/>
      <c r="B215" s="152"/>
      <c r="C215" s="152"/>
      <c r="D215" s="152"/>
      <c r="E215" s="152"/>
      <c r="F215" s="152"/>
      <c r="G215" s="152"/>
      <c r="H215" s="152"/>
      <c r="I215" s="153"/>
    </row>
    <row r="216" spans="1:9" s="154" customFormat="1">
      <c r="A216" s="152"/>
      <c r="B216" s="152"/>
      <c r="C216" s="152"/>
      <c r="D216" s="152"/>
      <c r="E216" s="152"/>
      <c r="F216" s="152"/>
      <c r="G216" s="152"/>
      <c r="H216" s="152"/>
      <c r="I216" s="153"/>
    </row>
    <row r="217" spans="1:9" s="154" customFormat="1">
      <c r="A217" s="152"/>
      <c r="B217" s="152"/>
      <c r="C217" s="152"/>
      <c r="D217" s="152"/>
      <c r="E217" s="152"/>
      <c r="F217" s="152"/>
      <c r="G217" s="152"/>
      <c r="H217" s="152"/>
      <c r="I217" s="153"/>
    </row>
    <row r="218" spans="1:9" s="154" customFormat="1">
      <c r="A218" s="152"/>
      <c r="B218" s="152"/>
      <c r="C218" s="152"/>
      <c r="D218" s="152"/>
      <c r="E218" s="152"/>
      <c r="F218" s="152"/>
      <c r="G218" s="152"/>
      <c r="H218" s="152"/>
      <c r="I218" s="153"/>
    </row>
    <row r="219" spans="1:9" s="154" customFormat="1">
      <c r="A219" s="152"/>
      <c r="B219" s="152"/>
      <c r="C219" s="152"/>
      <c r="D219" s="152"/>
      <c r="E219" s="152"/>
      <c r="F219" s="152"/>
      <c r="G219" s="152"/>
      <c r="H219" s="152"/>
      <c r="I219" s="153"/>
    </row>
    <row r="220" spans="1:9" s="154" customFormat="1">
      <c r="A220" s="152"/>
      <c r="B220" s="152"/>
      <c r="C220" s="152"/>
      <c r="D220" s="152"/>
      <c r="E220" s="152"/>
      <c r="F220" s="152"/>
      <c r="G220" s="152"/>
      <c r="H220" s="152"/>
      <c r="I220" s="153"/>
    </row>
    <row r="221" spans="1:9" s="154" customFormat="1">
      <c r="A221" s="152"/>
      <c r="B221" s="152"/>
      <c r="C221" s="152"/>
      <c r="D221" s="152"/>
      <c r="E221" s="152"/>
      <c r="F221" s="152"/>
      <c r="G221" s="152"/>
      <c r="H221" s="152"/>
      <c r="I221" s="153"/>
    </row>
    <row r="222" spans="1:9" s="154" customFormat="1">
      <c r="A222" s="152"/>
      <c r="B222" s="152"/>
      <c r="C222" s="152"/>
      <c r="D222" s="152"/>
      <c r="E222" s="152"/>
      <c r="F222" s="152"/>
      <c r="G222" s="152"/>
      <c r="H222" s="152"/>
      <c r="I222" s="153"/>
    </row>
    <row r="223" spans="1:9" s="154" customFormat="1">
      <c r="A223" s="152"/>
      <c r="B223" s="152"/>
      <c r="C223" s="152"/>
      <c r="D223" s="152"/>
      <c r="E223" s="152"/>
      <c r="F223" s="152"/>
      <c r="G223" s="152"/>
      <c r="H223" s="152"/>
      <c r="I223" s="153"/>
    </row>
    <row r="224" spans="1:9" s="154" customFormat="1">
      <c r="A224" s="152"/>
      <c r="B224" s="152"/>
      <c r="C224" s="152"/>
      <c r="D224" s="152"/>
      <c r="E224" s="152"/>
      <c r="F224" s="152"/>
      <c r="G224" s="152"/>
      <c r="H224" s="152"/>
      <c r="I224" s="153"/>
    </row>
    <row r="225" spans="1:9" s="154" customFormat="1">
      <c r="A225" s="152"/>
      <c r="B225" s="152"/>
      <c r="C225" s="152"/>
      <c r="D225" s="152"/>
      <c r="E225" s="152"/>
      <c r="F225" s="152"/>
      <c r="G225" s="152"/>
      <c r="H225" s="152"/>
      <c r="I225" s="153"/>
    </row>
    <row r="226" spans="1:9" s="154" customFormat="1">
      <c r="A226" s="152"/>
      <c r="B226" s="152"/>
      <c r="C226" s="152"/>
      <c r="D226" s="152"/>
      <c r="E226" s="152"/>
      <c r="F226" s="152"/>
      <c r="G226" s="152"/>
      <c r="H226" s="152"/>
      <c r="I226" s="153"/>
    </row>
    <row r="227" spans="1:9" s="154" customFormat="1">
      <c r="A227" s="152"/>
      <c r="B227" s="152"/>
      <c r="C227" s="152"/>
      <c r="D227" s="152"/>
      <c r="E227" s="152"/>
      <c r="F227" s="152"/>
      <c r="G227" s="152"/>
      <c r="H227" s="152"/>
      <c r="I227" s="153"/>
    </row>
    <row r="228" spans="1:9" s="154" customFormat="1">
      <c r="A228" s="152"/>
      <c r="B228" s="152"/>
      <c r="C228" s="152"/>
      <c r="D228" s="152"/>
      <c r="E228" s="152"/>
      <c r="F228" s="152"/>
      <c r="G228" s="152"/>
      <c r="H228" s="152"/>
      <c r="I228" s="153"/>
    </row>
    <row r="229" spans="1:9" s="154" customFormat="1">
      <c r="A229" s="152"/>
      <c r="B229" s="152"/>
      <c r="C229" s="152"/>
      <c r="D229" s="152"/>
      <c r="E229" s="152"/>
      <c r="F229" s="152"/>
      <c r="G229" s="152"/>
      <c r="H229" s="152"/>
      <c r="I229" s="153"/>
    </row>
    <row r="230" spans="1:9" s="154" customFormat="1">
      <c r="A230" s="152"/>
      <c r="B230" s="152"/>
      <c r="C230" s="152"/>
      <c r="D230" s="152"/>
      <c r="E230" s="152"/>
      <c r="F230" s="152"/>
      <c r="G230" s="152"/>
      <c r="H230" s="152"/>
      <c r="I230" s="153"/>
    </row>
    <row r="231" spans="1:9" s="154" customFormat="1">
      <c r="A231" s="152"/>
      <c r="B231" s="152"/>
      <c r="C231" s="152"/>
      <c r="D231" s="152"/>
      <c r="E231" s="152"/>
      <c r="F231" s="152"/>
      <c r="G231" s="152"/>
      <c r="H231" s="152"/>
      <c r="I231" s="153"/>
    </row>
    <row r="232" spans="1:9" s="154" customFormat="1">
      <c r="A232" s="152"/>
      <c r="B232" s="152"/>
      <c r="C232" s="152"/>
      <c r="D232" s="152"/>
      <c r="E232" s="152"/>
      <c r="F232" s="152"/>
      <c r="G232" s="152"/>
      <c r="H232" s="152"/>
      <c r="I232" s="153"/>
    </row>
    <row r="233" spans="1:9" s="154" customFormat="1">
      <c r="A233" s="152"/>
      <c r="B233" s="152"/>
      <c r="C233" s="152"/>
      <c r="D233" s="152"/>
      <c r="E233" s="152"/>
      <c r="F233" s="152"/>
      <c r="G233" s="152"/>
      <c r="H233" s="152"/>
      <c r="I233" s="153"/>
    </row>
    <row r="234" spans="1:9" s="154" customFormat="1">
      <c r="A234" s="152"/>
      <c r="B234" s="152"/>
      <c r="C234" s="152"/>
      <c r="D234" s="152"/>
      <c r="E234" s="152"/>
      <c r="F234" s="152"/>
      <c r="G234" s="152"/>
      <c r="H234" s="152"/>
      <c r="I234" s="153"/>
    </row>
    <row r="235" spans="1:9" s="154" customFormat="1">
      <c r="A235" s="152"/>
      <c r="B235" s="152"/>
      <c r="C235" s="152"/>
      <c r="D235" s="152"/>
      <c r="E235" s="152"/>
      <c r="F235" s="152"/>
      <c r="G235" s="152"/>
      <c r="H235" s="152"/>
      <c r="I235" s="153"/>
    </row>
    <row r="236" spans="1:9" s="154" customFormat="1">
      <c r="A236" s="152"/>
      <c r="B236" s="152"/>
      <c r="C236" s="152"/>
      <c r="D236" s="152"/>
      <c r="E236" s="152"/>
      <c r="F236" s="152"/>
      <c r="G236" s="152"/>
      <c r="H236" s="152"/>
      <c r="I236" s="153"/>
    </row>
    <row r="237" spans="1:9" s="154" customFormat="1">
      <c r="A237" s="152"/>
      <c r="B237" s="152"/>
      <c r="C237" s="152"/>
      <c r="D237" s="152"/>
      <c r="E237" s="152"/>
      <c r="F237" s="152"/>
      <c r="G237" s="152"/>
      <c r="H237" s="152"/>
      <c r="I237" s="153"/>
    </row>
    <row r="238" spans="1:9" s="154" customFormat="1">
      <c r="A238" s="152"/>
      <c r="B238" s="152"/>
      <c r="C238" s="152"/>
      <c r="D238" s="152"/>
      <c r="E238" s="152"/>
      <c r="F238" s="152"/>
      <c r="G238" s="152"/>
      <c r="H238" s="152"/>
      <c r="I238" s="153"/>
    </row>
    <row r="239" spans="1:9" s="154" customFormat="1">
      <c r="A239" s="152"/>
      <c r="B239" s="152"/>
      <c r="C239" s="152"/>
      <c r="D239" s="152"/>
      <c r="E239" s="152"/>
      <c r="F239" s="152"/>
      <c r="G239" s="152"/>
      <c r="H239" s="152"/>
      <c r="I239" s="153"/>
    </row>
    <row r="240" spans="1:9" s="154" customFormat="1">
      <c r="A240" s="152"/>
      <c r="B240" s="152"/>
      <c r="C240" s="152"/>
      <c r="D240" s="152"/>
      <c r="E240" s="152"/>
      <c r="F240" s="152"/>
      <c r="G240" s="152"/>
      <c r="H240" s="152"/>
      <c r="I240" s="153"/>
    </row>
    <row r="241" spans="1:9" s="154" customFormat="1">
      <c r="A241" s="152"/>
      <c r="B241" s="152"/>
      <c r="C241" s="152"/>
      <c r="D241" s="152"/>
      <c r="E241" s="152"/>
      <c r="F241" s="152"/>
      <c r="G241" s="152"/>
      <c r="H241" s="152"/>
      <c r="I241" s="153"/>
    </row>
    <row r="242" spans="1:9" s="154" customFormat="1">
      <c r="A242" s="152"/>
      <c r="B242" s="152"/>
      <c r="C242" s="152"/>
      <c r="D242" s="152"/>
      <c r="E242" s="152"/>
      <c r="F242" s="152"/>
      <c r="G242" s="152"/>
      <c r="H242" s="152"/>
      <c r="I242" s="153"/>
    </row>
    <row r="243" spans="1:9" s="154" customFormat="1">
      <c r="A243" s="152"/>
      <c r="B243" s="152"/>
      <c r="C243" s="152"/>
      <c r="D243" s="152"/>
      <c r="E243" s="152"/>
      <c r="F243" s="152"/>
      <c r="G243" s="152"/>
      <c r="H243" s="152"/>
      <c r="I243" s="153"/>
    </row>
    <row r="244" spans="1:9" s="154" customFormat="1">
      <c r="A244" s="152"/>
      <c r="B244" s="152"/>
      <c r="C244" s="152"/>
      <c r="D244" s="152"/>
      <c r="E244" s="152"/>
      <c r="F244" s="152"/>
      <c r="G244" s="152"/>
      <c r="H244" s="152"/>
      <c r="I244" s="153"/>
    </row>
    <row r="245" spans="1:9" s="154" customFormat="1">
      <c r="A245" s="152"/>
      <c r="B245" s="152"/>
      <c r="C245" s="152"/>
      <c r="D245" s="152"/>
      <c r="E245" s="152"/>
      <c r="F245" s="152"/>
      <c r="G245" s="152"/>
      <c r="H245" s="152"/>
      <c r="I245" s="153"/>
    </row>
    <row r="246" spans="1:9" s="154" customFormat="1">
      <c r="A246" s="152"/>
      <c r="B246" s="152"/>
      <c r="C246" s="152"/>
      <c r="D246" s="152"/>
      <c r="E246" s="152"/>
      <c r="F246" s="152"/>
      <c r="G246" s="152"/>
      <c r="H246" s="152"/>
      <c r="I246" s="153"/>
    </row>
    <row r="247" spans="1:9" s="154" customFormat="1">
      <c r="A247" s="152"/>
      <c r="B247" s="152"/>
      <c r="C247" s="152"/>
      <c r="D247" s="152"/>
      <c r="E247" s="152"/>
      <c r="F247" s="152"/>
      <c r="G247" s="152"/>
      <c r="H247" s="152"/>
      <c r="I247" s="153"/>
    </row>
    <row r="248" spans="1:9" s="154" customFormat="1">
      <c r="A248" s="152"/>
      <c r="B248" s="152"/>
      <c r="C248" s="152"/>
      <c r="D248" s="152"/>
      <c r="E248" s="152"/>
      <c r="F248" s="152"/>
      <c r="G248" s="152"/>
      <c r="H248" s="152"/>
      <c r="I248" s="153"/>
    </row>
    <row r="249" spans="1:9" s="154" customFormat="1">
      <c r="A249" s="152"/>
      <c r="B249" s="152"/>
      <c r="C249" s="152"/>
      <c r="D249" s="152"/>
      <c r="E249" s="152"/>
      <c r="F249" s="152"/>
      <c r="G249" s="152"/>
      <c r="H249" s="152"/>
      <c r="I249" s="153"/>
    </row>
    <row r="250" spans="1:9" s="154" customFormat="1">
      <c r="A250" s="152"/>
      <c r="B250" s="152"/>
      <c r="C250" s="152"/>
      <c r="D250" s="152"/>
      <c r="E250" s="152"/>
      <c r="F250" s="152"/>
      <c r="G250" s="152"/>
      <c r="H250" s="152"/>
      <c r="I250" s="153"/>
    </row>
    <row r="251" spans="1:9" s="154" customFormat="1">
      <c r="A251" s="152"/>
      <c r="B251" s="152"/>
      <c r="C251" s="152"/>
      <c r="D251" s="152"/>
      <c r="E251" s="152"/>
      <c r="F251" s="152"/>
      <c r="G251" s="152"/>
      <c r="H251" s="152"/>
      <c r="I251" s="153"/>
    </row>
    <row r="252" spans="1:9" s="154" customFormat="1">
      <c r="A252" s="152"/>
      <c r="B252" s="152"/>
      <c r="C252" s="152"/>
      <c r="D252" s="152"/>
      <c r="E252" s="152"/>
      <c r="F252" s="152"/>
      <c r="G252" s="152"/>
      <c r="H252" s="152"/>
      <c r="I252" s="153"/>
    </row>
    <row r="253" spans="1:9" s="154" customFormat="1">
      <c r="A253" s="152"/>
      <c r="B253" s="152"/>
      <c r="C253" s="152"/>
      <c r="D253" s="152"/>
      <c r="E253" s="152"/>
      <c r="F253" s="152"/>
      <c r="G253" s="152"/>
      <c r="H253" s="152"/>
      <c r="I253" s="153"/>
    </row>
    <row r="254" spans="1:9" s="154" customFormat="1">
      <c r="A254" s="152"/>
      <c r="B254" s="152"/>
      <c r="C254" s="152"/>
      <c r="D254" s="152"/>
      <c r="E254" s="152"/>
      <c r="F254" s="152"/>
      <c r="G254" s="152"/>
      <c r="H254" s="152"/>
      <c r="I254" s="153"/>
    </row>
    <row r="255" spans="1:9" s="154" customFormat="1">
      <c r="A255" s="152"/>
      <c r="B255" s="152"/>
      <c r="C255" s="152"/>
      <c r="D255" s="152"/>
      <c r="E255" s="152"/>
      <c r="F255" s="152"/>
      <c r="G255" s="152"/>
      <c r="H255" s="152"/>
      <c r="I255" s="153"/>
    </row>
    <row r="256" spans="1:9" s="154" customFormat="1">
      <c r="A256" s="152"/>
      <c r="B256" s="152"/>
      <c r="C256" s="152"/>
      <c r="D256" s="152"/>
      <c r="E256" s="152"/>
      <c r="F256" s="152"/>
      <c r="G256" s="152"/>
      <c r="H256" s="152"/>
      <c r="I256" s="153"/>
    </row>
    <row r="257" spans="1:9" s="154" customFormat="1">
      <c r="A257" s="152"/>
      <c r="B257" s="152"/>
      <c r="C257" s="152"/>
      <c r="D257" s="152"/>
      <c r="E257" s="152"/>
      <c r="F257" s="152"/>
      <c r="G257" s="152"/>
      <c r="H257" s="152"/>
      <c r="I257" s="153"/>
    </row>
    <row r="258" spans="1:9" s="154" customFormat="1">
      <c r="A258" s="152"/>
      <c r="B258" s="152"/>
      <c r="C258" s="152"/>
      <c r="D258" s="152"/>
      <c r="E258" s="152"/>
      <c r="F258" s="152"/>
      <c r="G258" s="152"/>
      <c r="H258" s="152"/>
      <c r="I258" s="153"/>
    </row>
    <row r="259" spans="1:9" s="154" customFormat="1">
      <c r="A259" s="152"/>
      <c r="B259" s="152"/>
      <c r="C259" s="152"/>
      <c r="D259" s="152"/>
      <c r="E259" s="152"/>
      <c r="F259" s="152"/>
      <c r="G259" s="152"/>
      <c r="H259" s="152"/>
      <c r="I259" s="153"/>
    </row>
    <row r="260" spans="1:9" s="154" customFormat="1">
      <c r="A260" s="152"/>
      <c r="B260" s="152"/>
      <c r="C260" s="152"/>
      <c r="D260" s="152"/>
      <c r="E260" s="152"/>
      <c r="F260" s="152"/>
      <c r="G260" s="152"/>
      <c r="H260" s="152"/>
      <c r="I260" s="153"/>
    </row>
    <row r="261" spans="1:9" s="154" customFormat="1">
      <c r="A261" s="152"/>
      <c r="B261" s="152"/>
      <c r="C261" s="152"/>
      <c r="D261" s="152"/>
      <c r="E261" s="152"/>
      <c r="F261" s="152"/>
      <c r="G261" s="152"/>
      <c r="H261" s="152"/>
      <c r="I261" s="153"/>
    </row>
    <row r="262" spans="1:9" s="154" customFormat="1">
      <c r="A262" s="152"/>
      <c r="B262" s="152"/>
      <c r="C262" s="152"/>
      <c r="D262" s="152"/>
      <c r="E262" s="152"/>
      <c r="F262" s="152"/>
      <c r="G262" s="152"/>
      <c r="H262" s="152"/>
      <c r="I262" s="153"/>
    </row>
    <row r="263" spans="1:9" s="154" customFormat="1">
      <c r="A263" s="152"/>
      <c r="B263" s="152"/>
      <c r="C263" s="152"/>
      <c r="D263" s="152"/>
      <c r="E263" s="152"/>
      <c r="F263" s="152"/>
      <c r="G263" s="152"/>
      <c r="H263" s="152"/>
      <c r="I263" s="153"/>
    </row>
    <row r="264" spans="1:9" s="154" customFormat="1">
      <c r="A264" s="152"/>
      <c r="B264" s="152"/>
      <c r="C264" s="152"/>
      <c r="D264" s="152"/>
      <c r="E264" s="152"/>
      <c r="F264" s="152"/>
      <c r="G264" s="152"/>
      <c r="H264" s="152"/>
      <c r="I264" s="153"/>
    </row>
    <row r="265" spans="1:9" s="154" customFormat="1">
      <c r="A265" s="152"/>
      <c r="B265" s="152"/>
      <c r="C265" s="152"/>
      <c r="D265" s="152"/>
      <c r="E265" s="152"/>
      <c r="F265" s="152"/>
      <c r="G265" s="152"/>
      <c r="H265" s="152"/>
      <c r="I265" s="153"/>
    </row>
    <row r="266" spans="1:9" s="154" customFormat="1">
      <c r="A266" s="152"/>
      <c r="B266" s="152"/>
      <c r="C266" s="152"/>
      <c r="D266" s="152"/>
      <c r="E266" s="152"/>
      <c r="F266" s="152"/>
      <c r="G266" s="152"/>
      <c r="H266" s="152"/>
      <c r="I266" s="153"/>
    </row>
    <row r="267" spans="1:9" s="154" customFormat="1">
      <c r="A267" s="152"/>
      <c r="B267" s="152"/>
      <c r="C267" s="152"/>
      <c r="D267" s="152"/>
      <c r="E267" s="152"/>
      <c r="F267" s="152"/>
      <c r="G267" s="152"/>
      <c r="H267" s="152"/>
      <c r="I267" s="153"/>
    </row>
    <row r="268" spans="1:9" s="154" customFormat="1">
      <c r="A268" s="152"/>
      <c r="B268" s="152"/>
      <c r="C268" s="152"/>
      <c r="D268" s="152"/>
      <c r="E268" s="152"/>
      <c r="F268" s="152"/>
      <c r="G268" s="152"/>
      <c r="H268" s="152"/>
      <c r="I268" s="153"/>
    </row>
    <row r="269" spans="1:9" s="154" customFormat="1">
      <c r="A269" s="152"/>
      <c r="B269" s="152"/>
      <c r="C269" s="152"/>
      <c r="D269" s="152"/>
      <c r="E269" s="152"/>
      <c r="F269" s="152"/>
      <c r="G269" s="152"/>
      <c r="H269" s="152"/>
      <c r="I269" s="153"/>
    </row>
    <row r="270" spans="1:9" s="154" customFormat="1">
      <c r="A270" s="152"/>
      <c r="B270" s="152"/>
      <c r="C270" s="152"/>
      <c r="D270" s="152"/>
      <c r="E270" s="152"/>
      <c r="F270" s="152"/>
      <c r="G270" s="152"/>
      <c r="H270" s="152"/>
      <c r="I270" s="153"/>
    </row>
    <row r="271" spans="1:9" s="154" customFormat="1">
      <c r="A271" s="152"/>
      <c r="B271" s="152"/>
      <c r="C271" s="152"/>
      <c r="D271" s="152"/>
      <c r="E271" s="152"/>
      <c r="F271" s="152"/>
      <c r="G271" s="152"/>
      <c r="H271" s="152"/>
      <c r="I271" s="153"/>
    </row>
    <row r="272" spans="1:9" s="154" customFormat="1">
      <c r="A272" s="152"/>
      <c r="B272" s="152"/>
      <c r="C272" s="152"/>
      <c r="D272" s="152"/>
      <c r="E272" s="152"/>
      <c r="F272" s="152"/>
      <c r="G272" s="152"/>
      <c r="H272" s="152"/>
      <c r="I272" s="153"/>
    </row>
    <row r="273" spans="1:9" s="154" customFormat="1">
      <c r="A273" s="152"/>
      <c r="B273" s="152"/>
      <c r="C273" s="152"/>
      <c r="D273" s="152"/>
      <c r="E273" s="152"/>
      <c r="F273" s="152"/>
      <c r="G273" s="152"/>
      <c r="H273" s="152"/>
      <c r="I273" s="153"/>
    </row>
    <row r="274" spans="1:9" s="154" customFormat="1">
      <c r="A274" s="152"/>
      <c r="B274" s="152"/>
      <c r="C274" s="152"/>
      <c r="D274" s="152"/>
      <c r="E274" s="152"/>
      <c r="F274" s="152"/>
      <c r="G274" s="152"/>
      <c r="H274" s="152"/>
      <c r="I274" s="153"/>
    </row>
    <row r="275" spans="1:9" s="154" customFormat="1">
      <c r="A275" s="152"/>
      <c r="B275" s="152"/>
      <c r="C275" s="152"/>
      <c r="D275" s="152"/>
      <c r="E275" s="152"/>
      <c r="F275" s="152"/>
      <c r="G275" s="152"/>
      <c r="H275" s="152"/>
      <c r="I275" s="153"/>
    </row>
    <row r="276" spans="1:9" s="154" customFormat="1">
      <c r="A276" s="152"/>
      <c r="B276" s="152"/>
      <c r="C276" s="152"/>
      <c r="D276" s="152"/>
      <c r="E276" s="152"/>
      <c r="F276" s="152"/>
      <c r="G276" s="152"/>
      <c r="H276" s="152"/>
      <c r="I276" s="153"/>
    </row>
    <row r="277" spans="1:9" s="154" customFormat="1">
      <c r="A277" s="152"/>
      <c r="B277" s="152"/>
      <c r="C277" s="152"/>
      <c r="D277" s="152"/>
      <c r="E277" s="152"/>
      <c r="F277" s="152"/>
      <c r="G277" s="152"/>
      <c r="H277" s="152"/>
      <c r="I277" s="153"/>
    </row>
    <row r="278" spans="1:9" s="154" customFormat="1">
      <c r="A278" s="152"/>
      <c r="B278" s="152"/>
      <c r="C278" s="152"/>
      <c r="D278" s="152"/>
      <c r="E278" s="152"/>
      <c r="F278" s="152"/>
      <c r="G278" s="152"/>
      <c r="H278" s="152"/>
      <c r="I278" s="153"/>
    </row>
    <row r="279" spans="1:9" s="154" customFormat="1">
      <c r="A279" s="152"/>
      <c r="B279" s="152"/>
      <c r="C279" s="152"/>
      <c r="D279" s="152"/>
      <c r="E279" s="152"/>
      <c r="F279" s="152"/>
      <c r="G279" s="152"/>
      <c r="H279" s="152"/>
      <c r="I279" s="153"/>
    </row>
    <row r="280" spans="1:9" s="154" customFormat="1">
      <c r="A280" s="152"/>
      <c r="B280" s="152"/>
      <c r="C280" s="152"/>
      <c r="D280" s="152"/>
      <c r="E280" s="152"/>
      <c r="F280" s="152"/>
      <c r="G280" s="152"/>
      <c r="H280" s="152"/>
      <c r="I280" s="153"/>
    </row>
    <row r="281" spans="1:9" s="154" customFormat="1">
      <c r="A281" s="152"/>
      <c r="B281" s="152"/>
      <c r="C281" s="152"/>
      <c r="D281" s="152"/>
      <c r="E281" s="152"/>
      <c r="F281" s="152"/>
      <c r="G281" s="152"/>
      <c r="H281" s="152"/>
      <c r="I281" s="153"/>
    </row>
    <row r="282" spans="1:9" s="154" customFormat="1">
      <c r="A282" s="152"/>
      <c r="B282" s="152"/>
      <c r="C282" s="152"/>
      <c r="D282" s="152"/>
      <c r="E282" s="152"/>
      <c r="F282" s="152"/>
      <c r="G282" s="152"/>
      <c r="H282" s="152"/>
      <c r="I282" s="153"/>
    </row>
    <row r="283" spans="1:9" s="154" customFormat="1">
      <c r="A283" s="152"/>
      <c r="B283" s="152"/>
      <c r="C283" s="152"/>
      <c r="D283" s="152"/>
      <c r="E283" s="152"/>
      <c r="F283" s="152"/>
      <c r="G283" s="152"/>
      <c r="H283" s="152"/>
      <c r="I283" s="153"/>
    </row>
    <row r="284" spans="1:9" s="154" customFormat="1">
      <c r="A284" s="152"/>
      <c r="B284" s="152"/>
      <c r="C284" s="152"/>
      <c r="D284" s="152"/>
      <c r="E284" s="152"/>
      <c r="F284" s="152"/>
      <c r="G284" s="152"/>
      <c r="H284" s="152"/>
      <c r="I284" s="153"/>
    </row>
    <row r="285" spans="1:9" s="154" customFormat="1">
      <c r="A285" s="152"/>
      <c r="B285" s="152"/>
      <c r="C285" s="152"/>
      <c r="D285" s="152"/>
      <c r="E285" s="152"/>
      <c r="F285" s="152"/>
      <c r="G285" s="152"/>
      <c r="H285" s="152"/>
      <c r="I285" s="153"/>
    </row>
    <row r="286" spans="1:9" s="154" customFormat="1">
      <c r="A286" s="152"/>
      <c r="B286" s="152"/>
      <c r="C286" s="152"/>
      <c r="D286" s="152"/>
      <c r="E286" s="152"/>
      <c r="F286" s="152"/>
      <c r="G286" s="152"/>
      <c r="H286" s="152"/>
      <c r="I286" s="153"/>
    </row>
    <row r="287" spans="1:9" s="154" customFormat="1">
      <c r="A287" s="152"/>
      <c r="B287" s="152"/>
      <c r="C287" s="152"/>
      <c r="D287" s="152"/>
      <c r="E287" s="152"/>
      <c r="F287" s="152"/>
      <c r="G287" s="152"/>
      <c r="H287" s="152"/>
      <c r="I287" s="153"/>
    </row>
    <row r="288" spans="1:9" s="154" customFormat="1">
      <c r="A288" s="152"/>
      <c r="B288" s="152"/>
      <c r="C288" s="152"/>
      <c r="D288" s="152"/>
      <c r="E288" s="152"/>
      <c r="F288" s="152"/>
      <c r="G288" s="152"/>
      <c r="H288" s="152"/>
      <c r="I288" s="153"/>
    </row>
    <row r="289" spans="1:9" s="154" customFormat="1">
      <c r="A289" s="152"/>
      <c r="B289" s="152"/>
      <c r="C289" s="152"/>
      <c r="D289" s="152"/>
      <c r="E289" s="152"/>
      <c r="F289" s="152"/>
      <c r="G289" s="152"/>
      <c r="H289" s="152"/>
      <c r="I289" s="153"/>
    </row>
    <row r="290" spans="1:9" s="154" customFormat="1">
      <c r="A290" s="152"/>
      <c r="B290" s="152"/>
      <c r="C290" s="152"/>
      <c r="D290" s="152"/>
      <c r="E290" s="152"/>
      <c r="F290" s="152"/>
      <c r="G290" s="152"/>
      <c r="H290" s="152"/>
      <c r="I290" s="153"/>
    </row>
    <row r="291" spans="1:9" s="154" customFormat="1">
      <c r="A291" s="152"/>
      <c r="B291" s="152"/>
      <c r="C291" s="152"/>
      <c r="D291" s="152"/>
      <c r="E291" s="152"/>
      <c r="F291" s="152"/>
      <c r="G291" s="152"/>
      <c r="H291" s="152"/>
      <c r="I291" s="153"/>
    </row>
    <row r="292" spans="1:9" s="154" customFormat="1">
      <c r="A292" s="152"/>
      <c r="B292" s="152"/>
      <c r="C292" s="152"/>
      <c r="D292" s="152"/>
      <c r="E292" s="152"/>
      <c r="F292" s="152"/>
      <c r="G292" s="152"/>
      <c r="H292" s="152"/>
      <c r="I292" s="153"/>
    </row>
    <row r="293" spans="1:9" s="154" customFormat="1">
      <c r="A293" s="152"/>
      <c r="B293" s="152"/>
      <c r="C293" s="152"/>
      <c r="D293" s="152"/>
      <c r="E293" s="152"/>
      <c r="F293" s="152"/>
      <c r="G293" s="152"/>
      <c r="H293" s="152"/>
      <c r="I293" s="153"/>
    </row>
    <row r="294" spans="1:9" s="154" customFormat="1">
      <c r="A294" s="152"/>
      <c r="B294" s="152"/>
      <c r="C294" s="152"/>
      <c r="D294" s="152"/>
      <c r="E294" s="152"/>
      <c r="F294" s="152"/>
      <c r="G294" s="152"/>
      <c r="H294" s="152"/>
      <c r="I294" s="153"/>
    </row>
    <row r="295" spans="1:9" s="154" customFormat="1">
      <c r="A295" s="152"/>
      <c r="B295" s="152"/>
      <c r="C295" s="152"/>
      <c r="D295" s="152"/>
      <c r="E295" s="152"/>
      <c r="F295" s="152"/>
      <c r="G295" s="152"/>
      <c r="H295" s="152"/>
      <c r="I295" s="153"/>
    </row>
    <row r="296" spans="1:9" s="154" customFormat="1">
      <c r="A296" s="152"/>
      <c r="B296" s="152"/>
      <c r="C296" s="152"/>
      <c r="D296" s="152"/>
      <c r="E296" s="152"/>
      <c r="F296" s="152"/>
      <c r="G296" s="152"/>
      <c r="H296" s="152"/>
      <c r="I296" s="153"/>
    </row>
    <row r="297" spans="1:9" s="154" customFormat="1">
      <c r="A297" s="152"/>
      <c r="B297" s="152"/>
      <c r="C297" s="152"/>
      <c r="D297" s="152"/>
      <c r="E297" s="152"/>
      <c r="F297" s="152"/>
      <c r="G297" s="152"/>
      <c r="H297" s="152"/>
      <c r="I297" s="153"/>
    </row>
    <row r="298" spans="1:9" s="154" customFormat="1">
      <c r="A298" s="152"/>
      <c r="B298" s="152"/>
      <c r="C298" s="152"/>
      <c r="D298" s="152"/>
      <c r="E298" s="152"/>
      <c r="F298" s="152"/>
      <c r="G298" s="152"/>
      <c r="H298" s="152"/>
      <c r="I298" s="153"/>
    </row>
    <row r="299" spans="1:9" s="154" customFormat="1">
      <c r="A299" s="152"/>
      <c r="B299" s="152"/>
      <c r="C299" s="152"/>
      <c r="D299" s="152"/>
      <c r="E299" s="152"/>
      <c r="F299" s="152"/>
      <c r="G299" s="152"/>
      <c r="H299" s="152"/>
      <c r="I299" s="153"/>
    </row>
    <row r="300" spans="1:9" s="154" customFormat="1">
      <c r="A300" s="152"/>
      <c r="B300" s="152"/>
      <c r="C300" s="152"/>
      <c r="D300" s="152"/>
      <c r="E300" s="152"/>
      <c r="F300" s="152"/>
      <c r="G300" s="152"/>
      <c r="H300" s="152"/>
      <c r="I300" s="153"/>
    </row>
    <row r="301" spans="1:9" s="154" customFormat="1">
      <c r="A301" s="152"/>
      <c r="B301" s="152"/>
      <c r="C301" s="152"/>
      <c r="D301" s="152"/>
      <c r="E301" s="152"/>
      <c r="F301" s="152"/>
      <c r="G301" s="152"/>
      <c r="H301" s="152"/>
      <c r="I301" s="153"/>
    </row>
    <row r="302" spans="1:9" s="154" customFormat="1">
      <c r="A302" s="152"/>
      <c r="B302" s="152"/>
      <c r="C302" s="152"/>
      <c r="D302" s="152"/>
      <c r="E302" s="152"/>
      <c r="F302" s="152"/>
      <c r="G302" s="152"/>
      <c r="H302" s="152"/>
      <c r="I302" s="153"/>
    </row>
    <row r="303" spans="1:9" s="154" customFormat="1">
      <c r="A303" s="152"/>
      <c r="B303" s="152"/>
      <c r="C303" s="152"/>
      <c r="D303" s="152"/>
      <c r="E303" s="152"/>
      <c r="F303" s="152"/>
      <c r="G303" s="152"/>
      <c r="H303" s="152"/>
      <c r="I303" s="153"/>
    </row>
    <row r="304" spans="1:9" s="154" customFormat="1">
      <c r="A304" s="152"/>
      <c r="B304" s="152"/>
      <c r="C304" s="152"/>
      <c r="D304" s="152"/>
      <c r="E304" s="152"/>
      <c r="F304" s="152"/>
      <c r="G304" s="152"/>
      <c r="H304" s="152"/>
      <c r="I304" s="153"/>
    </row>
    <row r="305" spans="1:9" s="154" customFormat="1">
      <c r="A305" s="152"/>
      <c r="B305" s="152"/>
      <c r="C305" s="152"/>
      <c r="D305" s="152"/>
      <c r="E305" s="152"/>
      <c r="F305" s="152"/>
      <c r="G305" s="152"/>
      <c r="H305" s="152"/>
      <c r="I305" s="153"/>
    </row>
    <row r="306" spans="1:9" s="154" customFormat="1">
      <c r="A306" s="152"/>
      <c r="B306" s="152"/>
      <c r="C306" s="152"/>
      <c r="D306" s="152"/>
      <c r="E306" s="152"/>
      <c r="F306" s="152"/>
      <c r="G306" s="152"/>
      <c r="H306" s="152"/>
      <c r="I306" s="153"/>
    </row>
    <row r="307" spans="1:9" s="154" customFormat="1">
      <c r="A307" s="152"/>
      <c r="B307" s="152"/>
      <c r="C307" s="152"/>
      <c r="D307" s="152"/>
      <c r="E307" s="152"/>
      <c r="F307" s="152"/>
      <c r="G307" s="152"/>
      <c r="H307" s="152"/>
      <c r="I307" s="153"/>
    </row>
    <row r="308" spans="1:9" s="154" customFormat="1">
      <c r="A308" s="152"/>
      <c r="B308" s="152"/>
      <c r="C308" s="152"/>
      <c r="D308" s="152"/>
      <c r="E308" s="152"/>
      <c r="F308" s="152"/>
      <c r="G308" s="152"/>
      <c r="H308" s="152"/>
      <c r="I308" s="153"/>
    </row>
    <row r="309" spans="1:9" s="154" customFormat="1">
      <c r="A309" s="152"/>
      <c r="B309" s="152"/>
      <c r="C309" s="152"/>
      <c r="D309" s="152"/>
      <c r="E309" s="152"/>
      <c r="F309" s="152"/>
      <c r="G309" s="152"/>
      <c r="H309" s="152"/>
      <c r="I309" s="153"/>
    </row>
    <row r="310" spans="1:9" s="154" customFormat="1">
      <c r="A310" s="152"/>
      <c r="B310" s="152"/>
      <c r="C310" s="152"/>
      <c r="D310" s="152"/>
      <c r="E310" s="152"/>
      <c r="F310" s="152"/>
      <c r="G310" s="152"/>
      <c r="H310" s="152"/>
      <c r="I310" s="153"/>
    </row>
    <row r="311" spans="1:9" s="154" customFormat="1">
      <c r="A311" s="152"/>
      <c r="B311" s="152"/>
      <c r="C311" s="152"/>
      <c r="D311" s="152"/>
      <c r="E311" s="152"/>
      <c r="F311" s="152"/>
      <c r="G311" s="152"/>
      <c r="H311" s="152"/>
      <c r="I311" s="153"/>
    </row>
    <row r="312" spans="1:9" s="154" customFormat="1">
      <c r="A312" s="152"/>
      <c r="B312" s="152"/>
      <c r="C312" s="152"/>
      <c r="D312" s="152"/>
      <c r="E312" s="152"/>
      <c r="F312" s="152"/>
      <c r="G312" s="152"/>
      <c r="H312" s="152"/>
      <c r="I312" s="153"/>
    </row>
    <row r="313" spans="1:9" s="154" customFormat="1">
      <c r="A313" s="152"/>
      <c r="B313" s="152"/>
      <c r="C313" s="152"/>
      <c r="D313" s="152"/>
      <c r="E313" s="152"/>
      <c r="F313" s="152"/>
      <c r="G313" s="152"/>
      <c r="H313" s="152"/>
      <c r="I313" s="153"/>
    </row>
    <row r="314" spans="1:9" s="154" customFormat="1">
      <c r="A314" s="152"/>
      <c r="B314" s="152"/>
      <c r="C314" s="152"/>
      <c r="D314" s="152"/>
      <c r="E314" s="152"/>
      <c r="F314" s="152"/>
      <c r="G314" s="152"/>
      <c r="H314" s="152"/>
      <c r="I314" s="153"/>
    </row>
    <row r="315" spans="1:9" s="154" customFormat="1">
      <c r="A315" s="152"/>
      <c r="B315" s="152"/>
      <c r="C315" s="152"/>
      <c r="D315" s="152"/>
      <c r="E315" s="152"/>
      <c r="F315" s="152"/>
      <c r="G315" s="152"/>
      <c r="H315" s="152"/>
      <c r="I315" s="153"/>
    </row>
    <row r="316" spans="1:9" s="154" customFormat="1">
      <c r="A316" s="152"/>
      <c r="B316" s="152"/>
      <c r="C316" s="152"/>
      <c r="D316" s="152"/>
      <c r="E316" s="152"/>
      <c r="F316" s="152"/>
      <c r="G316" s="152"/>
      <c r="H316" s="152"/>
      <c r="I316" s="153"/>
    </row>
    <row r="317" spans="1:9" s="154" customFormat="1">
      <c r="A317" s="152"/>
      <c r="B317" s="152"/>
      <c r="C317" s="152"/>
      <c r="D317" s="152"/>
      <c r="E317" s="152"/>
      <c r="F317" s="152"/>
      <c r="G317" s="152"/>
      <c r="H317" s="152"/>
      <c r="I317" s="153"/>
    </row>
    <row r="318" spans="1:9" s="154" customFormat="1">
      <c r="A318" s="152"/>
      <c r="B318" s="152"/>
      <c r="C318" s="152"/>
      <c r="D318" s="152"/>
      <c r="E318" s="152"/>
      <c r="F318" s="152"/>
      <c r="G318" s="152"/>
      <c r="H318" s="152"/>
      <c r="I318" s="153"/>
    </row>
    <row r="319" spans="1:9" s="154" customFormat="1">
      <c r="A319" s="152"/>
      <c r="B319" s="152"/>
      <c r="C319" s="152"/>
      <c r="D319" s="152"/>
      <c r="E319" s="152"/>
      <c r="F319" s="152"/>
      <c r="G319" s="152"/>
      <c r="H319" s="152"/>
      <c r="I319" s="153"/>
    </row>
    <row r="320" spans="1:9" s="154" customFormat="1">
      <c r="A320" s="152"/>
      <c r="B320" s="152"/>
      <c r="C320" s="152"/>
      <c r="D320" s="152"/>
      <c r="E320" s="152"/>
      <c r="F320" s="152"/>
      <c r="G320" s="152"/>
      <c r="H320" s="152"/>
      <c r="I320" s="153"/>
    </row>
    <row r="321" spans="1:9" s="154" customFormat="1">
      <c r="A321" s="152"/>
      <c r="B321" s="152"/>
      <c r="C321" s="152"/>
      <c r="D321" s="152"/>
      <c r="E321" s="152"/>
      <c r="F321" s="152"/>
      <c r="G321" s="152"/>
      <c r="H321" s="152"/>
      <c r="I321" s="153"/>
    </row>
    <row r="322" spans="1:9" s="154" customFormat="1">
      <c r="A322" s="152"/>
      <c r="B322" s="152"/>
      <c r="C322" s="152"/>
      <c r="D322" s="152"/>
      <c r="E322" s="152"/>
      <c r="F322" s="152"/>
      <c r="G322" s="152"/>
      <c r="H322" s="152"/>
      <c r="I322" s="153"/>
    </row>
    <row r="323" spans="1:9" s="154" customFormat="1">
      <c r="A323" s="152"/>
      <c r="B323" s="152"/>
      <c r="C323" s="152"/>
      <c r="D323" s="152"/>
      <c r="E323" s="152"/>
      <c r="F323" s="152"/>
      <c r="G323" s="152"/>
      <c r="H323" s="152"/>
      <c r="I323" s="153"/>
    </row>
    <row r="324" spans="1:9" s="154" customFormat="1">
      <c r="A324" s="152"/>
      <c r="B324" s="152"/>
      <c r="C324" s="152"/>
      <c r="D324" s="152"/>
      <c r="E324" s="152"/>
      <c r="F324" s="152"/>
      <c r="G324" s="152"/>
      <c r="H324" s="152"/>
      <c r="I324" s="153"/>
    </row>
    <row r="325" spans="1:9" s="154" customFormat="1">
      <c r="A325" s="152"/>
      <c r="B325" s="152"/>
      <c r="C325" s="152"/>
      <c r="D325" s="152"/>
      <c r="E325" s="152"/>
      <c r="F325" s="152"/>
      <c r="G325" s="152"/>
      <c r="H325" s="152"/>
      <c r="I325" s="153"/>
    </row>
    <row r="326" spans="1:9" s="154" customFormat="1">
      <c r="A326" s="152"/>
      <c r="B326" s="152"/>
      <c r="C326" s="152"/>
      <c r="D326" s="152"/>
      <c r="E326" s="152"/>
      <c r="F326" s="152"/>
      <c r="G326" s="152"/>
      <c r="H326" s="152"/>
      <c r="I326" s="153"/>
    </row>
    <row r="327" spans="1:9" s="154" customFormat="1">
      <c r="A327" s="152"/>
      <c r="B327" s="152"/>
      <c r="C327" s="152"/>
      <c r="D327" s="152"/>
      <c r="E327" s="152"/>
      <c r="F327" s="152"/>
      <c r="G327" s="152"/>
      <c r="H327" s="152"/>
      <c r="I327" s="153"/>
    </row>
    <row r="328" spans="1:9" s="154" customFormat="1">
      <c r="A328" s="152"/>
      <c r="B328" s="152"/>
      <c r="C328" s="152"/>
      <c r="D328" s="152"/>
      <c r="E328" s="152"/>
      <c r="F328" s="152"/>
      <c r="G328" s="152"/>
      <c r="H328" s="152"/>
      <c r="I328" s="153"/>
    </row>
    <row r="329" spans="1:9" s="154" customFormat="1">
      <c r="A329" s="152"/>
      <c r="B329" s="152"/>
      <c r="C329" s="152"/>
      <c r="D329" s="152"/>
      <c r="E329" s="152"/>
      <c r="F329" s="152"/>
      <c r="G329" s="152"/>
      <c r="H329" s="152"/>
      <c r="I329" s="153"/>
    </row>
    <row r="330" spans="1:9" s="154" customFormat="1">
      <c r="A330" s="152"/>
      <c r="B330" s="152"/>
      <c r="C330" s="152"/>
      <c r="D330" s="152"/>
      <c r="E330" s="152"/>
      <c r="F330" s="152"/>
      <c r="G330" s="152"/>
      <c r="H330" s="152"/>
      <c r="I330" s="153"/>
    </row>
    <row r="331" spans="1:9" s="154" customFormat="1">
      <c r="A331" s="152"/>
      <c r="B331" s="152"/>
      <c r="C331" s="152"/>
      <c r="D331" s="152"/>
      <c r="E331" s="152"/>
      <c r="F331" s="152"/>
      <c r="G331" s="152"/>
      <c r="H331" s="152"/>
      <c r="I331" s="153"/>
    </row>
    <row r="332" spans="1:9" s="154" customFormat="1">
      <c r="A332" s="152"/>
      <c r="B332" s="152"/>
      <c r="C332" s="152"/>
      <c r="D332" s="152"/>
      <c r="E332" s="152"/>
      <c r="F332" s="152"/>
      <c r="G332" s="152"/>
      <c r="H332" s="152"/>
      <c r="I332" s="153"/>
    </row>
    <row r="333" spans="1:9" s="154" customFormat="1">
      <c r="A333" s="152"/>
      <c r="B333" s="152"/>
      <c r="C333" s="152"/>
      <c r="D333" s="152"/>
      <c r="E333" s="152"/>
      <c r="F333" s="152"/>
      <c r="G333" s="152"/>
      <c r="H333" s="152"/>
      <c r="I333" s="153"/>
    </row>
    <row r="334" spans="1:9" s="154" customFormat="1">
      <c r="A334" s="152"/>
      <c r="B334" s="152"/>
      <c r="C334" s="152"/>
      <c r="D334" s="152"/>
      <c r="E334" s="152"/>
      <c r="F334" s="152"/>
      <c r="G334" s="152"/>
      <c r="H334" s="152"/>
      <c r="I334" s="153"/>
    </row>
    <row r="335" spans="1:9" s="154" customFormat="1">
      <c r="A335" s="152"/>
      <c r="B335" s="152"/>
      <c r="C335" s="152"/>
      <c r="D335" s="152"/>
      <c r="E335" s="152"/>
      <c r="F335" s="152"/>
      <c r="G335" s="152"/>
      <c r="H335" s="152"/>
      <c r="I335" s="153"/>
    </row>
    <row r="336" spans="1:9" s="154" customFormat="1">
      <c r="A336" s="152"/>
      <c r="B336" s="152"/>
      <c r="C336" s="152"/>
      <c r="D336" s="152"/>
      <c r="E336" s="152"/>
      <c r="F336" s="152"/>
      <c r="G336" s="152"/>
      <c r="H336" s="152"/>
      <c r="I336" s="153"/>
    </row>
    <row r="337" spans="1:9" s="154" customFormat="1">
      <c r="A337" s="152"/>
      <c r="B337" s="152"/>
      <c r="C337" s="152"/>
      <c r="D337" s="152"/>
      <c r="E337" s="152"/>
      <c r="F337" s="152"/>
      <c r="G337" s="152"/>
      <c r="H337" s="152"/>
      <c r="I337" s="153"/>
    </row>
    <row r="338" spans="1:9" s="154" customFormat="1">
      <c r="A338" s="152"/>
      <c r="B338" s="152"/>
      <c r="C338" s="152"/>
      <c r="D338" s="152"/>
      <c r="E338" s="152"/>
      <c r="F338" s="152"/>
      <c r="G338" s="152"/>
      <c r="H338" s="152"/>
      <c r="I338" s="153"/>
    </row>
    <row r="339" spans="1:9" s="154" customFormat="1">
      <c r="A339" s="152"/>
      <c r="B339" s="152"/>
      <c r="C339" s="152"/>
      <c r="D339" s="152"/>
      <c r="E339" s="152"/>
      <c r="F339" s="152"/>
      <c r="G339" s="152"/>
      <c r="H339" s="152"/>
      <c r="I339" s="153"/>
    </row>
    <row r="340" spans="1:9" s="154" customFormat="1">
      <c r="A340" s="152"/>
      <c r="B340" s="152"/>
      <c r="C340" s="152"/>
      <c r="D340" s="152"/>
      <c r="E340" s="152"/>
      <c r="F340" s="152"/>
      <c r="G340" s="152"/>
      <c r="H340" s="152"/>
      <c r="I340" s="153"/>
    </row>
    <row r="341" spans="1:9" s="154" customFormat="1">
      <c r="A341" s="152"/>
      <c r="B341" s="152"/>
      <c r="C341" s="152"/>
      <c r="D341" s="152"/>
      <c r="E341" s="152"/>
      <c r="F341" s="152"/>
      <c r="G341" s="152"/>
      <c r="H341" s="152"/>
      <c r="I341" s="153"/>
    </row>
    <row r="342" spans="1:9" s="154" customFormat="1">
      <c r="A342" s="152"/>
      <c r="B342" s="152"/>
      <c r="C342" s="152"/>
      <c r="D342" s="152"/>
      <c r="E342" s="152"/>
      <c r="F342" s="152"/>
      <c r="G342" s="152"/>
      <c r="H342" s="152"/>
      <c r="I342" s="153"/>
    </row>
    <row r="343" spans="1:9" s="154" customFormat="1">
      <c r="A343" s="152"/>
      <c r="B343" s="152"/>
      <c r="C343" s="152"/>
      <c r="D343" s="152"/>
      <c r="E343" s="152"/>
      <c r="F343" s="152"/>
      <c r="G343" s="152"/>
      <c r="H343" s="152"/>
      <c r="I343" s="153"/>
    </row>
    <row r="344" spans="1:9" s="154" customFormat="1">
      <c r="A344" s="152"/>
      <c r="B344" s="152"/>
      <c r="C344" s="152"/>
      <c r="D344" s="152"/>
      <c r="E344" s="152"/>
      <c r="F344" s="152"/>
      <c r="G344" s="152"/>
      <c r="H344" s="152"/>
      <c r="I344" s="153"/>
    </row>
    <row r="345" spans="1:9" s="154" customFormat="1">
      <c r="A345" s="152"/>
      <c r="B345" s="152"/>
      <c r="C345" s="152"/>
      <c r="D345" s="152"/>
      <c r="E345" s="152"/>
      <c r="F345" s="152"/>
      <c r="G345" s="152"/>
      <c r="H345" s="152"/>
      <c r="I345" s="153"/>
    </row>
    <row r="346" spans="1:9" s="154" customFormat="1">
      <c r="A346" s="152"/>
      <c r="B346" s="152"/>
      <c r="C346" s="152"/>
      <c r="D346" s="152"/>
      <c r="E346" s="152"/>
      <c r="F346" s="152"/>
      <c r="G346" s="152"/>
      <c r="H346" s="152"/>
      <c r="I346" s="153"/>
    </row>
    <row r="347" spans="1:9" s="154" customFormat="1">
      <c r="A347" s="152"/>
      <c r="B347" s="152"/>
      <c r="C347" s="152"/>
      <c r="D347" s="152"/>
      <c r="E347" s="152"/>
      <c r="F347" s="152"/>
      <c r="G347" s="152"/>
      <c r="H347" s="152"/>
      <c r="I347" s="153"/>
    </row>
    <row r="348" spans="1:9" s="154" customFormat="1">
      <c r="A348" s="152"/>
      <c r="B348" s="152"/>
      <c r="C348" s="152"/>
      <c r="D348" s="152"/>
      <c r="E348" s="152"/>
      <c r="F348" s="152"/>
      <c r="G348" s="152"/>
      <c r="H348" s="152"/>
      <c r="I348" s="153"/>
    </row>
    <row r="349" spans="1:9" s="154" customFormat="1">
      <c r="A349" s="152"/>
      <c r="B349" s="152"/>
      <c r="C349" s="152"/>
      <c r="D349" s="152"/>
      <c r="E349" s="152"/>
      <c r="F349" s="152"/>
      <c r="G349" s="152"/>
      <c r="H349" s="152"/>
      <c r="I349" s="153"/>
    </row>
    <row r="350" spans="1:9" s="154" customFormat="1">
      <c r="A350" s="152"/>
      <c r="B350" s="152"/>
      <c r="C350" s="152"/>
      <c r="D350" s="152"/>
      <c r="E350" s="152"/>
      <c r="F350" s="152"/>
      <c r="G350" s="152"/>
      <c r="H350" s="152"/>
      <c r="I350" s="153"/>
    </row>
    <row r="351" spans="1:9" s="154" customFormat="1">
      <c r="A351" s="152"/>
      <c r="B351" s="152"/>
      <c r="C351" s="152"/>
      <c r="D351" s="152"/>
      <c r="E351" s="152"/>
      <c r="F351" s="152"/>
      <c r="G351" s="152"/>
      <c r="H351" s="152"/>
      <c r="I351" s="153"/>
    </row>
    <row r="352" spans="1:9" s="154" customFormat="1">
      <c r="A352" s="152"/>
      <c r="B352" s="152"/>
      <c r="C352" s="152"/>
      <c r="D352" s="152"/>
      <c r="E352" s="152"/>
      <c r="F352" s="152"/>
      <c r="G352" s="152"/>
      <c r="H352" s="152"/>
      <c r="I352" s="153"/>
    </row>
    <row r="353" spans="1:9" s="154" customFormat="1">
      <c r="A353" s="152"/>
      <c r="B353" s="152"/>
      <c r="C353" s="152"/>
      <c r="D353" s="152"/>
      <c r="E353" s="152"/>
      <c r="F353" s="152"/>
      <c r="G353" s="152"/>
      <c r="H353" s="152"/>
      <c r="I353" s="153"/>
    </row>
    <row r="354" spans="1:9" s="154" customFormat="1">
      <c r="A354" s="152"/>
      <c r="B354" s="152"/>
      <c r="C354" s="152"/>
      <c r="D354" s="152"/>
      <c r="E354" s="152"/>
      <c r="F354" s="152"/>
      <c r="G354" s="152"/>
      <c r="H354" s="152"/>
      <c r="I354" s="153"/>
    </row>
    <row r="355" spans="1:9" s="154" customFormat="1">
      <c r="A355" s="152"/>
      <c r="B355" s="152"/>
      <c r="C355" s="152"/>
      <c r="D355" s="152"/>
      <c r="E355" s="152"/>
      <c r="F355" s="152"/>
      <c r="G355" s="152"/>
      <c r="H355" s="152"/>
      <c r="I355" s="153"/>
    </row>
    <row r="356" spans="1:9" s="154" customFormat="1">
      <c r="A356" s="152"/>
      <c r="B356" s="152"/>
      <c r="C356" s="152"/>
      <c r="D356" s="152"/>
      <c r="E356" s="152"/>
      <c r="F356" s="152"/>
      <c r="G356" s="152"/>
      <c r="H356" s="152"/>
      <c r="I356" s="153"/>
    </row>
    <row r="357" spans="1:9" s="154" customFormat="1">
      <c r="A357" s="152"/>
      <c r="B357" s="152"/>
      <c r="C357" s="152"/>
      <c r="D357" s="152"/>
      <c r="E357" s="152"/>
      <c r="F357" s="152"/>
      <c r="G357" s="152"/>
      <c r="H357" s="152"/>
      <c r="I357" s="153"/>
    </row>
    <row r="358" spans="1:9" s="154" customFormat="1">
      <c r="A358" s="152"/>
      <c r="B358" s="152"/>
      <c r="C358" s="152"/>
      <c r="D358" s="152"/>
      <c r="E358" s="152"/>
      <c r="F358" s="152"/>
      <c r="G358" s="152"/>
      <c r="H358" s="152"/>
      <c r="I358" s="153"/>
    </row>
    <row r="359" spans="1:9" s="154" customFormat="1">
      <c r="A359" s="152"/>
      <c r="B359" s="152"/>
      <c r="C359" s="152"/>
      <c r="D359" s="152"/>
      <c r="E359" s="152"/>
      <c r="F359" s="152"/>
      <c r="G359" s="152"/>
      <c r="H359" s="152"/>
      <c r="I359" s="153"/>
    </row>
    <row r="360" spans="1:9" s="154" customFormat="1">
      <c r="A360" s="152"/>
      <c r="B360" s="152"/>
      <c r="C360" s="152"/>
      <c r="D360" s="152"/>
      <c r="E360" s="152"/>
      <c r="F360" s="152"/>
      <c r="G360" s="152"/>
      <c r="H360" s="152"/>
      <c r="I360" s="153"/>
    </row>
    <row r="361" spans="1:9" s="154" customFormat="1">
      <c r="A361" s="152"/>
      <c r="B361" s="152"/>
      <c r="C361" s="152"/>
      <c r="D361" s="152"/>
      <c r="E361" s="152"/>
      <c r="F361" s="152"/>
      <c r="G361" s="152"/>
      <c r="H361" s="152"/>
      <c r="I361" s="153"/>
    </row>
    <row r="362" spans="1:9" s="154" customFormat="1">
      <c r="A362" s="152"/>
      <c r="B362" s="152"/>
      <c r="C362" s="152"/>
      <c r="D362" s="152"/>
      <c r="E362" s="152"/>
      <c r="F362" s="152"/>
      <c r="G362" s="152"/>
      <c r="H362" s="152"/>
      <c r="I362" s="153"/>
    </row>
    <row r="363" spans="1:9" s="154" customFormat="1">
      <c r="A363" s="152"/>
      <c r="B363" s="152"/>
      <c r="C363" s="152"/>
      <c r="D363" s="152"/>
      <c r="E363" s="152"/>
      <c r="F363" s="152"/>
      <c r="G363" s="152"/>
      <c r="H363" s="152"/>
      <c r="I363" s="153"/>
    </row>
    <row r="364" spans="1:9" s="154" customFormat="1">
      <c r="A364" s="152"/>
      <c r="B364" s="152"/>
      <c r="C364" s="152"/>
      <c r="D364" s="152"/>
      <c r="E364" s="152"/>
      <c r="F364" s="152"/>
      <c r="G364" s="152"/>
      <c r="H364" s="152"/>
      <c r="I364" s="153"/>
    </row>
    <row r="365" spans="1:9" s="154" customFormat="1">
      <c r="A365" s="152"/>
      <c r="B365" s="152"/>
      <c r="C365" s="152"/>
      <c r="D365" s="152"/>
      <c r="E365" s="152"/>
      <c r="F365" s="152"/>
      <c r="G365" s="152"/>
      <c r="H365" s="152"/>
      <c r="I365" s="153"/>
    </row>
    <row r="366" spans="1:9" s="154" customFormat="1">
      <c r="A366" s="152"/>
      <c r="B366" s="152"/>
      <c r="C366" s="152"/>
      <c r="D366" s="152"/>
      <c r="E366" s="152"/>
      <c r="F366" s="152"/>
      <c r="G366" s="152"/>
      <c r="H366" s="152"/>
      <c r="I366" s="153"/>
    </row>
    <row r="367" spans="1:9" s="154" customFormat="1">
      <c r="A367" s="152"/>
      <c r="B367" s="152"/>
      <c r="C367" s="152"/>
      <c r="D367" s="152"/>
      <c r="E367" s="152"/>
      <c r="F367" s="152"/>
      <c r="G367" s="152"/>
      <c r="H367" s="152"/>
      <c r="I367" s="153"/>
    </row>
    <row r="368" spans="1:9" s="154" customFormat="1">
      <c r="A368" s="152"/>
      <c r="B368" s="152"/>
      <c r="C368" s="152"/>
      <c r="D368" s="152"/>
      <c r="E368" s="152"/>
      <c r="F368" s="152"/>
      <c r="G368" s="152"/>
      <c r="H368" s="152"/>
      <c r="I368" s="153"/>
    </row>
  </sheetData>
  <mergeCells count="3">
    <mergeCell ref="J26:O26"/>
    <mergeCell ref="L2:N2"/>
    <mergeCell ref="L3:N5"/>
  </mergeCells>
  <pageMargins left="0.7" right="0.7" top="0.75" bottom="0.75" header="0.3" footer="0.3"/>
  <pageSetup orientation="portrait"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CF1BD-DCB4-4732-92EB-A1B3001EE686}">
  <sheetPr codeName="Sheet7">
    <pageSetUpPr autoPageBreaks="0"/>
  </sheetPr>
  <dimension ref="A1:V343"/>
  <sheetViews>
    <sheetView zoomScaleNormal="100" workbookViewId="0">
      <selection activeCell="Q109" sqref="Q109"/>
    </sheetView>
  </sheetViews>
  <sheetFormatPr defaultRowHeight="15"/>
  <cols>
    <col min="1" max="2" width="16" style="34" customWidth="1"/>
    <col min="3" max="3" width="14.85546875" style="11" hidden="1" customWidth="1"/>
    <col min="4" max="4" width="16" style="11" hidden="1" customWidth="1"/>
    <col min="5" max="5" width="4" style="11" customWidth="1"/>
    <col min="6" max="6" width="15.85546875" style="27" customWidth="1"/>
    <col min="7" max="8" width="5.5703125" style="11" hidden="1" customWidth="1"/>
    <col min="9" max="9" width="15.140625" style="11" customWidth="1"/>
    <col min="10" max="10" width="2.140625" style="34" hidden="1" customWidth="1"/>
    <col min="11" max="11" width="15" style="11" customWidth="1"/>
    <col min="12" max="12" width="3.42578125" customWidth="1"/>
    <col min="13" max="13" width="12.85546875" customWidth="1"/>
    <col min="14" max="14" width="17.42578125" customWidth="1"/>
    <col min="16" max="16" width="20.85546875" customWidth="1"/>
    <col min="17" max="17" width="9.7109375" customWidth="1"/>
    <col min="18" max="18" width="9.140625" customWidth="1"/>
  </cols>
  <sheetData>
    <row r="1" spans="1:18" ht="15.75" thickBot="1">
      <c r="A1" s="35" t="s">
        <v>31</v>
      </c>
      <c r="B1" s="35" t="s">
        <v>32</v>
      </c>
      <c r="C1" s="36"/>
      <c r="D1" s="36"/>
      <c r="E1" s="36"/>
      <c r="F1" s="37" t="s">
        <v>2</v>
      </c>
      <c r="G1" s="38"/>
      <c r="H1" s="38"/>
      <c r="I1" s="35" t="s">
        <v>33</v>
      </c>
      <c r="J1" s="51"/>
      <c r="K1" s="35" t="s">
        <v>34</v>
      </c>
      <c r="M1" s="28" t="s">
        <v>39</v>
      </c>
      <c r="N1" s="31" t="s">
        <v>40</v>
      </c>
    </row>
    <row r="2" spans="1:18" ht="15.75" hidden="1" customHeight="1">
      <c r="A2" s="59" t="str">
        <f t="shared" ref="A2:A5" si="0">CONCATENATE(D2,G2,F2,G2,I2,J2,K2)</f>
        <v>SLEDcheckreq_241987084_Parker,Evonne</v>
      </c>
      <c r="B2" s="46" t="str">
        <f t="shared" ref="B2:B5" si="1">CONCATENATE(C2,H2,F2,H2,I2,J2,K2)</f>
        <v>SledRecreq_241987084_Parker,Evonne</v>
      </c>
      <c r="C2" s="39" t="s">
        <v>38</v>
      </c>
      <c r="D2" s="40" t="s">
        <v>37</v>
      </c>
      <c r="E2" s="36" t="s">
        <v>6</v>
      </c>
      <c r="F2" s="41">
        <v>241987084</v>
      </c>
      <c r="G2" s="34" t="s">
        <v>35</v>
      </c>
      <c r="H2" s="34" t="s">
        <v>35</v>
      </c>
      <c r="I2" s="12" t="s">
        <v>68</v>
      </c>
      <c r="J2" s="49" t="s">
        <v>36</v>
      </c>
      <c r="K2" s="42" t="s">
        <v>67</v>
      </c>
      <c r="M2" s="29" t="str">
        <f>_xlfn.CONCAT(I2:K2)</f>
        <v>Parker,Evonne</v>
      </c>
      <c r="N2" s="32" t="str">
        <f t="shared" ref="N2:N5" si="2">CONCATENATE(K2," ",I2)</f>
        <v>Evonne Parker</v>
      </c>
      <c r="Q2" s="7">
        <f ca="1">TODAY()</f>
        <v>44826</v>
      </c>
      <c r="R2">
        <v>20</v>
      </c>
    </row>
    <row r="3" spans="1:18" ht="15.75" hidden="1" customHeight="1">
      <c r="A3" s="45" t="str">
        <f t="shared" si="0"/>
        <v>SLEDcheckreq_242062694_Beckmon,Drayven</v>
      </c>
      <c r="B3" s="46" t="str">
        <f t="shared" si="1"/>
        <v>SledRecreq_242062694_Beckmon,Drayven</v>
      </c>
      <c r="C3" s="39" t="s">
        <v>38</v>
      </c>
      <c r="D3" s="40" t="s">
        <v>37</v>
      </c>
      <c r="E3" s="36" t="s">
        <v>6</v>
      </c>
      <c r="F3" s="41">
        <v>242062694</v>
      </c>
      <c r="G3" s="34" t="s">
        <v>35</v>
      </c>
      <c r="H3" s="34" t="s">
        <v>35</v>
      </c>
      <c r="I3" s="12" t="s">
        <v>71</v>
      </c>
      <c r="J3" s="49" t="s">
        <v>36</v>
      </c>
      <c r="K3" s="42" t="s">
        <v>70</v>
      </c>
      <c r="M3" s="29" t="str">
        <f>_xlfn.CONCAT(I3:K3)</f>
        <v>Beckmon,Drayven</v>
      </c>
      <c r="N3" s="32" t="str">
        <f t="shared" si="2"/>
        <v>Drayven Beckmon</v>
      </c>
    </row>
    <row r="4" spans="1:18" hidden="1">
      <c r="A4" s="45" t="str">
        <f t="shared" si="0"/>
        <v>SLEDcheckreq_242212394_Shumaker,Tanner</v>
      </c>
      <c r="B4" s="46" t="str">
        <f t="shared" si="1"/>
        <v>SledRecreq_242212394_Shumaker,Tanner</v>
      </c>
      <c r="C4" s="39" t="s">
        <v>38</v>
      </c>
      <c r="D4" s="40" t="s">
        <v>37</v>
      </c>
      <c r="E4" s="36" t="s">
        <v>6</v>
      </c>
      <c r="F4" s="41">
        <v>242212394</v>
      </c>
      <c r="G4" s="34" t="s">
        <v>35</v>
      </c>
      <c r="H4" s="34" t="s">
        <v>35</v>
      </c>
      <c r="I4" s="12" t="s">
        <v>75</v>
      </c>
      <c r="J4" s="49" t="s">
        <v>36</v>
      </c>
      <c r="K4" s="42" t="s">
        <v>74</v>
      </c>
      <c r="M4" s="30" t="str">
        <f t="shared" ref="M4:M38" si="3">_xlfn.CONCAT(I4:K4)</f>
        <v>Shumaker,Tanner</v>
      </c>
      <c r="N4" s="32" t="str">
        <f t="shared" si="2"/>
        <v>Tanner Shumaker</v>
      </c>
    </row>
    <row r="5" spans="1:18" hidden="1">
      <c r="A5" s="45" t="str">
        <f t="shared" si="0"/>
        <v>SLEDcheckreq_242217875_Martensen,Mary</v>
      </c>
      <c r="B5" s="46" t="str">
        <f t="shared" si="1"/>
        <v>SledRecreq_242217875_Martensen,Mary</v>
      </c>
      <c r="C5" s="39" t="s">
        <v>38</v>
      </c>
      <c r="D5" s="40" t="s">
        <v>37</v>
      </c>
      <c r="E5" s="36" t="s">
        <v>6</v>
      </c>
      <c r="F5" s="41">
        <v>242217875</v>
      </c>
      <c r="G5" s="34" t="s">
        <v>35</v>
      </c>
      <c r="H5" s="34" t="s">
        <v>35</v>
      </c>
      <c r="I5" s="12" t="s">
        <v>78</v>
      </c>
      <c r="J5" s="49" t="s">
        <v>36</v>
      </c>
      <c r="K5" s="42" t="s">
        <v>77</v>
      </c>
      <c r="M5" s="30" t="str">
        <f t="shared" si="3"/>
        <v>Martensen,Mary</v>
      </c>
      <c r="N5" s="32" t="str">
        <f t="shared" si="2"/>
        <v>Mary Martensen</v>
      </c>
    </row>
    <row r="6" spans="1:18" hidden="1">
      <c r="A6" s="45" t="str">
        <f t="shared" ref="A6:A40" si="4">CONCATENATE(D6,G6,F6,G6,I6,J6,K6)</f>
        <v>SLEDcheckreq__,</v>
      </c>
      <c r="B6" s="46" t="str">
        <f t="shared" ref="B6:B40" si="5">CONCATENATE(C6,H6,F6,H6,I6,J6,K6)</f>
        <v>SledRecreq__,</v>
      </c>
      <c r="C6" s="39" t="s">
        <v>38</v>
      </c>
      <c r="D6" s="40" t="s">
        <v>37</v>
      </c>
      <c r="E6" s="36" t="s">
        <v>6</v>
      </c>
      <c r="F6" s="41"/>
      <c r="G6" s="34" t="s">
        <v>35</v>
      </c>
      <c r="H6" s="34" t="s">
        <v>35</v>
      </c>
      <c r="I6" s="12"/>
      <c r="J6" s="49" t="s">
        <v>36</v>
      </c>
      <c r="K6" s="42"/>
      <c r="M6" s="30" t="str">
        <f t="shared" ref="M6:M37" si="6">_xlfn.CONCAT(I6:K6)</f>
        <v>,</v>
      </c>
      <c r="N6" s="32" t="str">
        <f t="shared" ref="N6:N37" si="7">CONCATENATE(K6," ",I6)</f>
        <v xml:space="preserve"> </v>
      </c>
    </row>
    <row r="7" spans="1:18" hidden="1">
      <c r="A7" s="45" t="str">
        <f t="shared" si="4"/>
        <v>SLEDcheckreq__,</v>
      </c>
      <c r="B7" s="46" t="str">
        <f t="shared" si="5"/>
        <v>SledRecreq__,</v>
      </c>
      <c r="C7" s="39" t="s">
        <v>38</v>
      </c>
      <c r="D7" s="40" t="s">
        <v>37</v>
      </c>
      <c r="E7" s="36" t="s">
        <v>6</v>
      </c>
      <c r="F7" s="41"/>
      <c r="G7" s="34" t="s">
        <v>35</v>
      </c>
      <c r="H7" s="34" t="s">
        <v>35</v>
      </c>
      <c r="I7" s="12"/>
      <c r="J7" s="49" t="s">
        <v>36</v>
      </c>
      <c r="K7" s="42"/>
      <c r="M7" s="30" t="str">
        <f t="shared" si="6"/>
        <v>,</v>
      </c>
      <c r="N7" s="32" t="str">
        <f t="shared" si="7"/>
        <v xml:space="preserve"> </v>
      </c>
    </row>
    <row r="8" spans="1:18" hidden="1">
      <c r="A8" s="45" t="str">
        <f t="shared" si="4"/>
        <v>SLEDcheckreq__,</v>
      </c>
      <c r="B8" s="46" t="str">
        <f t="shared" si="5"/>
        <v>SledRecreq__,</v>
      </c>
      <c r="C8" s="39" t="s">
        <v>38</v>
      </c>
      <c r="D8" s="40" t="s">
        <v>37</v>
      </c>
      <c r="E8" s="36" t="s">
        <v>6</v>
      </c>
      <c r="F8" s="41"/>
      <c r="G8" s="34" t="s">
        <v>35</v>
      </c>
      <c r="H8" s="34" t="s">
        <v>35</v>
      </c>
      <c r="I8" s="12"/>
      <c r="J8" s="49" t="s">
        <v>36</v>
      </c>
      <c r="K8" s="42"/>
      <c r="M8" s="30" t="str">
        <f t="shared" si="6"/>
        <v>,</v>
      </c>
      <c r="N8" s="32" t="str">
        <f t="shared" si="7"/>
        <v xml:space="preserve"> </v>
      </c>
    </row>
    <row r="9" spans="1:18" hidden="1">
      <c r="A9" s="45" t="str">
        <f t="shared" si="4"/>
        <v>SLEDcheckreq__,</v>
      </c>
      <c r="B9" s="46" t="str">
        <f t="shared" si="5"/>
        <v>SledRecreq__,</v>
      </c>
      <c r="C9" s="39" t="s">
        <v>38</v>
      </c>
      <c r="D9" s="40" t="s">
        <v>37</v>
      </c>
      <c r="E9" s="36" t="s">
        <v>6</v>
      </c>
      <c r="F9" s="41"/>
      <c r="G9" s="34" t="s">
        <v>35</v>
      </c>
      <c r="H9" s="34" t="s">
        <v>35</v>
      </c>
      <c r="I9" s="12"/>
      <c r="J9" s="49" t="s">
        <v>36</v>
      </c>
      <c r="K9" s="42"/>
      <c r="M9" s="30" t="str">
        <f t="shared" si="6"/>
        <v>,</v>
      </c>
      <c r="N9" s="32" t="str">
        <f t="shared" si="7"/>
        <v xml:space="preserve"> </v>
      </c>
    </row>
    <row r="10" spans="1:18" hidden="1">
      <c r="A10" s="45" t="str">
        <f t="shared" si="4"/>
        <v>SLEDcheckreq__,</v>
      </c>
      <c r="B10" s="46" t="str">
        <f t="shared" si="5"/>
        <v>SledRecreq__,</v>
      </c>
      <c r="C10" s="39" t="s">
        <v>38</v>
      </c>
      <c r="D10" s="40" t="s">
        <v>37</v>
      </c>
      <c r="E10" s="36" t="s">
        <v>6</v>
      </c>
      <c r="F10" s="41"/>
      <c r="G10" s="34" t="s">
        <v>35</v>
      </c>
      <c r="H10" s="34" t="s">
        <v>35</v>
      </c>
      <c r="I10" s="12"/>
      <c r="J10" s="49" t="s">
        <v>36</v>
      </c>
      <c r="K10" s="42"/>
      <c r="M10" s="30" t="str">
        <f t="shared" si="6"/>
        <v>,</v>
      </c>
      <c r="N10" s="32" t="str">
        <f t="shared" si="7"/>
        <v xml:space="preserve"> </v>
      </c>
    </row>
    <row r="11" spans="1:18" hidden="1">
      <c r="A11" s="45" t="str">
        <f t="shared" si="4"/>
        <v>SLEDcheckreq__,</v>
      </c>
      <c r="B11" s="46" t="str">
        <f t="shared" si="5"/>
        <v>SledRecreq__,</v>
      </c>
      <c r="C11" s="39" t="s">
        <v>38</v>
      </c>
      <c r="D11" s="40" t="s">
        <v>37</v>
      </c>
      <c r="E11" s="36" t="s">
        <v>6</v>
      </c>
      <c r="F11" s="41"/>
      <c r="G11" s="34" t="s">
        <v>35</v>
      </c>
      <c r="H11" s="34" t="s">
        <v>35</v>
      </c>
      <c r="I11" s="12"/>
      <c r="J11" s="49" t="s">
        <v>36</v>
      </c>
      <c r="K11" s="42"/>
      <c r="M11" s="30" t="str">
        <f t="shared" si="6"/>
        <v>,</v>
      </c>
      <c r="N11" s="32" t="str">
        <f t="shared" si="7"/>
        <v xml:space="preserve"> </v>
      </c>
      <c r="P11" s="11" t="s">
        <v>41</v>
      </c>
    </row>
    <row r="12" spans="1:18" hidden="1">
      <c r="A12" s="45" t="str">
        <f t="shared" si="4"/>
        <v>SLEDcheckreq__,</v>
      </c>
      <c r="B12" s="46" t="str">
        <f t="shared" si="5"/>
        <v>SledRecreq__,</v>
      </c>
      <c r="C12" s="39" t="s">
        <v>38</v>
      </c>
      <c r="D12" s="40" t="s">
        <v>37</v>
      </c>
      <c r="E12" s="36" t="s">
        <v>6</v>
      </c>
      <c r="F12" s="41"/>
      <c r="G12" s="34" t="s">
        <v>35</v>
      </c>
      <c r="H12" s="34" t="s">
        <v>35</v>
      </c>
      <c r="I12" s="12"/>
      <c r="J12" s="49" t="s">
        <v>36</v>
      </c>
      <c r="K12" s="42"/>
      <c r="M12" s="30" t="str">
        <f t="shared" si="6"/>
        <v>,</v>
      </c>
      <c r="N12" s="32" t="str">
        <f t="shared" si="7"/>
        <v xml:space="preserve"> </v>
      </c>
    </row>
    <row r="13" spans="1:18" hidden="1">
      <c r="A13" s="45" t="str">
        <f t="shared" si="4"/>
        <v>SLEDcheckreq_247270670_Norman,Thomas</v>
      </c>
      <c r="B13" s="46" t="str">
        <f t="shared" si="5"/>
        <v>SledRecreq_247270670_Norman,Thomas</v>
      </c>
      <c r="C13" s="39" t="s">
        <v>38</v>
      </c>
      <c r="D13" s="40" t="s">
        <v>37</v>
      </c>
      <c r="E13" s="36" t="s">
        <v>6</v>
      </c>
      <c r="F13" s="41">
        <v>247270670</v>
      </c>
      <c r="G13" s="34" t="s">
        <v>35</v>
      </c>
      <c r="H13" s="34" t="s">
        <v>35</v>
      </c>
      <c r="I13" s="12" t="s">
        <v>174</v>
      </c>
      <c r="J13" s="49" t="s">
        <v>36</v>
      </c>
      <c r="K13" s="42" t="s">
        <v>175</v>
      </c>
      <c r="M13" s="30" t="str">
        <f t="shared" si="6"/>
        <v>Norman,Thomas</v>
      </c>
      <c r="N13" s="32" t="str">
        <f t="shared" si="7"/>
        <v>Thomas Norman</v>
      </c>
    </row>
    <row r="14" spans="1:18" hidden="1">
      <c r="A14" s="45" t="str">
        <f t="shared" si="4"/>
        <v>SLEDcheckreq_247376397_Mckie,Da Netria</v>
      </c>
      <c r="B14" s="46" t="str">
        <f t="shared" si="5"/>
        <v>SledRecreq_247376397_Mckie,Da Netria</v>
      </c>
      <c r="C14" s="39" t="s">
        <v>38</v>
      </c>
      <c r="D14" s="40" t="s">
        <v>37</v>
      </c>
      <c r="E14" s="36" t="s">
        <v>6</v>
      </c>
      <c r="F14" s="41">
        <v>247376397</v>
      </c>
      <c r="G14" s="34" t="s">
        <v>35</v>
      </c>
      <c r="H14" s="34" t="s">
        <v>35</v>
      </c>
      <c r="I14" s="12" t="s">
        <v>176</v>
      </c>
      <c r="J14" s="49" t="s">
        <v>36</v>
      </c>
      <c r="K14" s="42" t="s">
        <v>177</v>
      </c>
      <c r="M14" s="30" t="str">
        <f t="shared" si="6"/>
        <v>Mckie,Da Netria</v>
      </c>
      <c r="N14" s="32" t="str">
        <f t="shared" si="7"/>
        <v>Da Netria Mckie</v>
      </c>
    </row>
    <row r="15" spans="1:18" hidden="1">
      <c r="A15" s="45" t="str">
        <f t="shared" si="4"/>
        <v>SLEDcheckreq_248486595_Harris,Davin</v>
      </c>
      <c r="B15" s="46" t="str">
        <f t="shared" si="5"/>
        <v>SledRecreq_248486595_Harris,Davin</v>
      </c>
      <c r="C15" s="39" t="s">
        <v>38</v>
      </c>
      <c r="D15" s="40" t="s">
        <v>37</v>
      </c>
      <c r="E15" s="36" t="s">
        <v>6</v>
      </c>
      <c r="F15" s="41">
        <v>248486595</v>
      </c>
      <c r="G15" s="34" t="s">
        <v>35</v>
      </c>
      <c r="H15" s="34" t="s">
        <v>35</v>
      </c>
      <c r="I15" s="12" t="s">
        <v>202</v>
      </c>
      <c r="J15" s="49" t="s">
        <v>36</v>
      </c>
      <c r="K15" s="42" t="s">
        <v>203</v>
      </c>
      <c r="M15" s="30" t="str">
        <f t="shared" si="6"/>
        <v>Harris,Davin</v>
      </c>
      <c r="N15" s="32" t="str">
        <f t="shared" si="7"/>
        <v>Davin Harris</v>
      </c>
    </row>
    <row r="16" spans="1:18" hidden="1">
      <c r="A16" s="45" t="str">
        <f t="shared" si="4"/>
        <v>SLEDcheckreq_248504741_Neely-Harris,Leonishia</v>
      </c>
      <c r="B16" s="46" t="str">
        <f t="shared" si="5"/>
        <v>SledRecreq_248504741_Neely-Harris,Leonishia</v>
      </c>
      <c r="C16" s="39" t="s">
        <v>38</v>
      </c>
      <c r="D16" s="40" t="s">
        <v>37</v>
      </c>
      <c r="E16" s="36" t="s">
        <v>6</v>
      </c>
      <c r="F16" s="41">
        <v>248504741</v>
      </c>
      <c r="G16" s="34" t="s">
        <v>35</v>
      </c>
      <c r="H16" s="34" t="s">
        <v>35</v>
      </c>
      <c r="I16" s="12" t="s">
        <v>204</v>
      </c>
      <c r="J16" s="49" t="s">
        <v>36</v>
      </c>
      <c r="K16" s="42" t="s">
        <v>205</v>
      </c>
      <c r="L16" s="11"/>
      <c r="M16" s="30" t="str">
        <f t="shared" si="6"/>
        <v>Neely-Harris,Leonishia</v>
      </c>
      <c r="N16" s="32" t="str">
        <f t="shared" si="7"/>
        <v>Leonishia Neely-Harris</v>
      </c>
    </row>
    <row r="17" spans="1:14" hidden="1">
      <c r="A17" s="45" t="str">
        <f t="shared" si="4"/>
        <v>SLEDcheckreq_248507845_Garcia Quinones,Catherine</v>
      </c>
      <c r="B17" s="46" t="str">
        <f t="shared" si="5"/>
        <v>SledRecreq_248507845_Garcia Quinones,Catherine</v>
      </c>
      <c r="C17" s="39" t="s">
        <v>38</v>
      </c>
      <c r="D17" s="40" t="s">
        <v>37</v>
      </c>
      <c r="E17" s="36" t="s">
        <v>6</v>
      </c>
      <c r="F17" s="41">
        <v>248507845</v>
      </c>
      <c r="G17" s="34" t="s">
        <v>35</v>
      </c>
      <c r="H17" s="34" t="s">
        <v>35</v>
      </c>
      <c r="I17" s="12" t="s">
        <v>207</v>
      </c>
      <c r="J17" s="49" t="s">
        <v>36</v>
      </c>
      <c r="K17" s="12" t="s">
        <v>206</v>
      </c>
      <c r="L17" s="11"/>
      <c r="M17" s="30" t="str">
        <f t="shared" si="6"/>
        <v>Garcia Quinones,Catherine</v>
      </c>
      <c r="N17" s="32" t="str">
        <f t="shared" si="7"/>
        <v>Catherine Garcia Quinones</v>
      </c>
    </row>
    <row r="18" spans="1:14" ht="15" hidden="1" customHeight="1">
      <c r="A18" s="45" t="str">
        <f t="shared" si="4"/>
        <v>SLEDcheckreq_248692595_Jones,Tina</v>
      </c>
      <c r="B18" s="46" t="str">
        <f t="shared" si="5"/>
        <v>SledRecreq_248692595_Jones,Tina</v>
      </c>
      <c r="C18" s="39" t="s">
        <v>38</v>
      </c>
      <c r="D18" s="40" t="s">
        <v>37</v>
      </c>
      <c r="E18" s="36" t="s">
        <v>6</v>
      </c>
      <c r="F18" s="41">
        <v>248692595</v>
      </c>
      <c r="G18" s="34" t="s">
        <v>35</v>
      </c>
      <c r="H18" s="34" t="s">
        <v>35</v>
      </c>
      <c r="I18" s="12" t="s">
        <v>110</v>
      </c>
      <c r="J18" s="49" t="s">
        <v>36</v>
      </c>
      <c r="K18" s="12" t="s">
        <v>209</v>
      </c>
      <c r="M18" s="30" t="str">
        <f t="shared" si="6"/>
        <v>Jones,Tina</v>
      </c>
      <c r="N18" s="32" t="str">
        <f t="shared" si="7"/>
        <v>Tina Jones</v>
      </c>
    </row>
    <row r="19" spans="1:14" ht="15" hidden="1" customHeight="1">
      <c r="A19" s="45" t="str">
        <f t="shared" si="4"/>
        <v>SLEDcheckreq_248695092_Shamberger,Patricia</v>
      </c>
      <c r="B19" s="46" t="str">
        <f t="shared" si="5"/>
        <v>SledRecreq_248695092_Shamberger,Patricia</v>
      </c>
      <c r="C19" s="39" t="s">
        <v>38</v>
      </c>
      <c r="D19" s="40" t="s">
        <v>37</v>
      </c>
      <c r="E19" s="36" t="s">
        <v>6</v>
      </c>
      <c r="F19" s="41">
        <v>248695092</v>
      </c>
      <c r="G19" s="34" t="s">
        <v>35</v>
      </c>
      <c r="H19" s="34" t="s">
        <v>35</v>
      </c>
      <c r="I19" s="12" t="s">
        <v>211</v>
      </c>
      <c r="J19" s="49" t="s">
        <v>36</v>
      </c>
      <c r="K19" s="12" t="s">
        <v>210</v>
      </c>
      <c r="L19" s="11"/>
      <c r="M19" s="30" t="str">
        <f t="shared" si="6"/>
        <v>Shamberger,Patricia</v>
      </c>
      <c r="N19" s="32" t="str">
        <f t="shared" si="7"/>
        <v>Patricia Shamberger</v>
      </c>
    </row>
    <row r="20" spans="1:14" ht="15.75" hidden="1" customHeight="1">
      <c r="A20" s="45" t="str">
        <f t="shared" si="4"/>
        <v>SLEDcheckreq_248712236_Davis,Shakeeta</v>
      </c>
      <c r="B20" s="46" t="str">
        <f t="shared" si="5"/>
        <v>SledRecreq_248712236_Davis,Shakeeta</v>
      </c>
      <c r="C20" s="39" t="s">
        <v>38</v>
      </c>
      <c r="D20" s="40" t="s">
        <v>37</v>
      </c>
      <c r="E20" s="36" t="s">
        <v>6</v>
      </c>
      <c r="F20" s="41">
        <v>248712236</v>
      </c>
      <c r="G20" s="34" t="s">
        <v>35</v>
      </c>
      <c r="H20" s="34" t="s">
        <v>35</v>
      </c>
      <c r="I20" s="12" t="s">
        <v>213</v>
      </c>
      <c r="J20" s="49" t="s">
        <v>36</v>
      </c>
      <c r="K20" s="12" t="s">
        <v>212</v>
      </c>
      <c r="L20" s="11"/>
      <c r="M20" s="30" t="str">
        <f t="shared" si="6"/>
        <v>Davis,Shakeeta</v>
      </c>
      <c r="N20" s="32" t="str">
        <f t="shared" si="7"/>
        <v>Shakeeta Davis</v>
      </c>
    </row>
    <row r="21" spans="1:14" hidden="1">
      <c r="A21" s="45" t="str">
        <f t="shared" si="4"/>
        <v>SLEDcheckreq_249034451_Hill,Cortney</v>
      </c>
      <c r="B21" s="46" t="str">
        <f t="shared" si="5"/>
        <v>SledRecreq_249034451_Hill,Cortney</v>
      </c>
      <c r="C21" s="39" t="s">
        <v>38</v>
      </c>
      <c r="D21" s="40" t="s">
        <v>37</v>
      </c>
      <c r="E21" s="36" t="s">
        <v>6</v>
      </c>
      <c r="F21" s="41">
        <v>249034451</v>
      </c>
      <c r="G21" s="34" t="s">
        <v>35</v>
      </c>
      <c r="H21" s="34" t="s">
        <v>35</v>
      </c>
      <c r="I21" s="12" t="s">
        <v>215</v>
      </c>
      <c r="J21" s="49" t="s">
        <v>36</v>
      </c>
      <c r="K21" s="12" t="s">
        <v>214</v>
      </c>
      <c r="L21" s="11"/>
      <c r="M21" s="30" t="str">
        <f t="shared" si="6"/>
        <v>Hill,Cortney</v>
      </c>
      <c r="N21" s="32" t="str">
        <f t="shared" si="7"/>
        <v>Cortney Hill</v>
      </c>
    </row>
    <row r="22" spans="1:14" hidden="1">
      <c r="A22" s="45" t="str">
        <f t="shared" si="4"/>
        <v>SLEDcheckreq_249034898_Stewart,Thomas</v>
      </c>
      <c r="B22" s="46" t="str">
        <f t="shared" si="5"/>
        <v>SledRecreq_249034898_Stewart,Thomas</v>
      </c>
      <c r="C22" s="39" t="s">
        <v>38</v>
      </c>
      <c r="D22" s="40" t="s">
        <v>37</v>
      </c>
      <c r="E22" s="36" t="s">
        <v>6</v>
      </c>
      <c r="F22" s="41">
        <v>249034898</v>
      </c>
      <c r="G22" s="34" t="s">
        <v>35</v>
      </c>
      <c r="H22" s="34" t="s">
        <v>35</v>
      </c>
      <c r="I22" s="12" t="s">
        <v>216</v>
      </c>
      <c r="J22" s="49" t="s">
        <v>36</v>
      </c>
      <c r="K22" s="12" t="s">
        <v>175</v>
      </c>
      <c r="L22" s="11"/>
      <c r="M22" s="30" t="str">
        <f t="shared" si="6"/>
        <v>Stewart,Thomas</v>
      </c>
      <c r="N22" s="32" t="str">
        <f t="shared" si="7"/>
        <v>Thomas Stewart</v>
      </c>
    </row>
    <row r="23" spans="1:14" hidden="1">
      <c r="A23" s="45" t="str">
        <f t="shared" si="4"/>
        <v>SLEDcheckreq_249054456_Wilson Jr,Dwight</v>
      </c>
      <c r="B23" s="46" t="str">
        <f t="shared" si="5"/>
        <v>SledRecreq_249054456_Wilson Jr,Dwight</v>
      </c>
      <c r="C23" s="39" t="s">
        <v>38</v>
      </c>
      <c r="D23" s="40" t="s">
        <v>37</v>
      </c>
      <c r="E23" s="36" t="s">
        <v>6</v>
      </c>
      <c r="F23" s="41">
        <v>249054456</v>
      </c>
      <c r="G23" s="34" t="s">
        <v>35</v>
      </c>
      <c r="H23" s="34" t="s">
        <v>35</v>
      </c>
      <c r="I23" s="12" t="s">
        <v>218</v>
      </c>
      <c r="J23" s="49" t="s">
        <v>36</v>
      </c>
      <c r="K23" s="12" t="s">
        <v>217</v>
      </c>
      <c r="L23" s="11"/>
      <c r="M23" s="30" t="str">
        <f t="shared" si="6"/>
        <v>Wilson Jr,Dwight</v>
      </c>
      <c r="N23" s="32" t="str">
        <f t="shared" si="7"/>
        <v>Dwight Wilson Jr</v>
      </c>
    </row>
    <row r="24" spans="1:14" hidden="1">
      <c r="A24" s="45" t="str">
        <f t="shared" si="4"/>
        <v>SLEDcheckreq_249069008_Sumpter,Hyshawn</v>
      </c>
      <c r="B24" s="46" t="str">
        <f t="shared" si="5"/>
        <v>SledRecreq_249069008_Sumpter,Hyshawn</v>
      </c>
      <c r="C24" s="39" t="s">
        <v>38</v>
      </c>
      <c r="D24" s="40" t="s">
        <v>37</v>
      </c>
      <c r="E24" s="36" t="s">
        <v>6</v>
      </c>
      <c r="F24" s="41">
        <v>249069008</v>
      </c>
      <c r="G24" s="34" t="s">
        <v>35</v>
      </c>
      <c r="H24" s="34" t="s">
        <v>35</v>
      </c>
      <c r="I24" s="12" t="s">
        <v>219</v>
      </c>
      <c r="J24" s="49" t="s">
        <v>36</v>
      </c>
      <c r="K24" s="12" t="s">
        <v>220</v>
      </c>
      <c r="L24" s="11"/>
      <c r="M24" s="30" t="str">
        <f t="shared" si="6"/>
        <v>Sumpter,Hyshawn</v>
      </c>
      <c r="N24" s="32" t="str">
        <f t="shared" si="7"/>
        <v>Hyshawn Sumpter</v>
      </c>
    </row>
    <row r="25" spans="1:14" hidden="1">
      <c r="A25" s="45" t="str">
        <f t="shared" si="4"/>
        <v>SLEDcheckreq_249178622_Gambrell-Booker,Adrian</v>
      </c>
      <c r="B25" s="46" t="str">
        <f t="shared" si="5"/>
        <v>SledRecreq_249178622_Gambrell-Booker,Adrian</v>
      </c>
      <c r="C25" s="39" t="s">
        <v>38</v>
      </c>
      <c r="D25" s="40" t="s">
        <v>37</v>
      </c>
      <c r="E25" s="36" t="s">
        <v>6</v>
      </c>
      <c r="F25" s="41">
        <v>249178622</v>
      </c>
      <c r="G25" s="34" t="s">
        <v>35</v>
      </c>
      <c r="H25" s="34" t="s">
        <v>35</v>
      </c>
      <c r="I25" s="12" t="s">
        <v>222</v>
      </c>
      <c r="J25" s="49" t="s">
        <v>36</v>
      </c>
      <c r="K25" s="12" t="s">
        <v>223</v>
      </c>
      <c r="L25" s="11"/>
      <c r="M25" s="30" t="str">
        <f t="shared" si="6"/>
        <v>Gambrell-Booker,Adrian</v>
      </c>
      <c r="N25" s="32" t="str">
        <f t="shared" si="7"/>
        <v>Adrian Gambrell-Booker</v>
      </c>
    </row>
    <row r="26" spans="1:14" hidden="1">
      <c r="A26" s="45" t="str">
        <f t="shared" si="4"/>
        <v>SLEDcheckreq_249187027_Polite,Byron</v>
      </c>
      <c r="B26" s="46" t="str">
        <f t="shared" si="5"/>
        <v>SledRecreq_249187027_Polite,Byron</v>
      </c>
      <c r="C26" s="39" t="s">
        <v>38</v>
      </c>
      <c r="D26" s="40" t="s">
        <v>37</v>
      </c>
      <c r="E26" s="36" t="s">
        <v>6</v>
      </c>
      <c r="F26" s="41">
        <v>249187027</v>
      </c>
      <c r="G26" s="34" t="s">
        <v>35</v>
      </c>
      <c r="H26" s="34" t="s">
        <v>35</v>
      </c>
      <c r="I26" s="12" t="s">
        <v>225</v>
      </c>
      <c r="J26" s="49" t="s">
        <v>36</v>
      </c>
      <c r="K26" s="12" t="s">
        <v>224</v>
      </c>
      <c r="L26" s="11"/>
      <c r="M26" s="30" t="str">
        <f t="shared" si="6"/>
        <v>Polite,Byron</v>
      </c>
      <c r="N26" s="32" t="str">
        <f t="shared" si="7"/>
        <v>Byron Polite</v>
      </c>
    </row>
    <row r="27" spans="1:14" hidden="1">
      <c r="A27" s="45" t="str">
        <f t="shared" si="4"/>
        <v>SLEDcheckreq_249232888_Dalontae,Smith</v>
      </c>
      <c r="B27" s="46" t="str">
        <f t="shared" si="5"/>
        <v>SledRecreq_249232888_Dalontae,Smith</v>
      </c>
      <c r="C27" s="39" t="s">
        <v>38</v>
      </c>
      <c r="D27" s="40" t="s">
        <v>37</v>
      </c>
      <c r="E27" s="36" t="s">
        <v>6</v>
      </c>
      <c r="F27" s="41">
        <v>249232888</v>
      </c>
      <c r="G27" s="34" t="s">
        <v>35</v>
      </c>
      <c r="H27" s="34" t="s">
        <v>35</v>
      </c>
      <c r="I27" s="12" t="s">
        <v>227</v>
      </c>
      <c r="J27" s="49" t="s">
        <v>36</v>
      </c>
      <c r="K27" s="12" t="s">
        <v>226</v>
      </c>
      <c r="L27" s="11"/>
      <c r="M27" s="30" t="str">
        <f t="shared" si="6"/>
        <v>Dalontae,Smith</v>
      </c>
      <c r="N27" s="32" t="str">
        <f t="shared" si="7"/>
        <v>Smith Dalontae</v>
      </c>
    </row>
    <row r="28" spans="1:14" hidden="1">
      <c r="A28" s="45" t="str">
        <f t="shared" si="4"/>
        <v>SLEDcheckreq_249458319_Johnson,Rosetta</v>
      </c>
      <c r="B28" s="46" t="str">
        <f t="shared" si="5"/>
        <v>SledRecreq_249458319_Johnson,Rosetta</v>
      </c>
      <c r="C28" s="39" t="s">
        <v>38</v>
      </c>
      <c r="D28" s="40" t="s">
        <v>37</v>
      </c>
      <c r="E28" s="36" t="s">
        <v>6</v>
      </c>
      <c r="F28" s="41">
        <v>249458319</v>
      </c>
      <c r="G28" s="34" t="s">
        <v>35</v>
      </c>
      <c r="H28" s="34" t="s">
        <v>35</v>
      </c>
      <c r="I28" s="12" t="s">
        <v>228</v>
      </c>
      <c r="J28" s="49" t="s">
        <v>36</v>
      </c>
      <c r="K28" s="12" t="s">
        <v>229</v>
      </c>
      <c r="L28" s="11"/>
      <c r="M28" s="30" t="str">
        <f t="shared" si="6"/>
        <v>Johnson,Rosetta</v>
      </c>
      <c r="N28" s="32" t="str">
        <f t="shared" si="7"/>
        <v>Rosetta Johnson</v>
      </c>
    </row>
    <row r="29" spans="1:14" hidden="1">
      <c r="A29" s="45" t="str">
        <f t="shared" si="4"/>
        <v>SLEDcheckreq_249502498_Foster,Marquis</v>
      </c>
      <c r="B29" s="46" t="str">
        <f t="shared" si="5"/>
        <v>SledRecreq_249502498_Foster,Marquis</v>
      </c>
      <c r="C29" s="39" t="s">
        <v>38</v>
      </c>
      <c r="D29" s="40" t="s">
        <v>37</v>
      </c>
      <c r="E29" s="36" t="s">
        <v>6</v>
      </c>
      <c r="F29" s="41">
        <v>249502498</v>
      </c>
      <c r="G29" s="34" t="s">
        <v>35</v>
      </c>
      <c r="H29" s="34" t="s">
        <v>35</v>
      </c>
      <c r="I29" s="12" t="s">
        <v>230</v>
      </c>
      <c r="J29" s="49" t="s">
        <v>36</v>
      </c>
      <c r="K29" s="12" t="s">
        <v>231</v>
      </c>
      <c r="L29" s="11"/>
      <c r="M29" s="30" t="str">
        <f t="shared" si="6"/>
        <v>Foster,Marquis</v>
      </c>
      <c r="N29" s="32" t="str">
        <f t="shared" si="7"/>
        <v>Marquis Foster</v>
      </c>
    </row>
    <row r="30" spans="1:14" hidden="1">
      <c r="A30" s="45" t="str">
        <f t="shared" si="4"/>
        <v>SLEDcheckreq_249576362_Johnson,Tonio</v>
      </c>
      <c r="B30" s="46" t="str">
        <f t="shared" si="5"/>
        <v>SledRecreq_249576362_Johnson,Tonio</v>
      </c>
      <c r="C30" s="39" t="s">
        <v>38</v>
      </c>
      <c r="D30" s="40" t="s">
        <v>37</v>
      </c>
      <c r="E30" s="36"/>
      <c r="F30" s="41">
        <v>249576362</v>
      </c>
      <c r="G30" s="34" t="s">
        <v>35</v>
      </c>
      <c r="H30" s="34" t="s">
        <v>35</v>
      </c>
      <c r="I30" s="12" t="s">
        <v>228</v>
      </c>
      <c r="J30" s="49" t="s">
        <v>36</v>
      </c>
      <c r="K30" s="12" t="s">
        <v>232</v>
      </c>
      <c r="M30" s="30" t="str">
        <f t="shared" si="6"/>
        <v>Johnson,Tonio</v>
      </c>
      <c r="N30" s="32" t="str">
        <f t="shared" si="7"/>
        <v>Tonio Johnson</v>
      </c>
    </row>
    <row r="31" spans="1:14" hidden="1">
      <c r="A31" s="45" t="str">
        <f t="shared" si="4"/>
        <v>SLEDcheckreq_249661229_Flores,Jorge</v>
      </c>
      <c r="B31" s="46" t="str">
        <f t="shared" si="5"/>
        <v>SledRecreq_249661229_Flores,Jorge</v>
      </c>
      <c r="C31" s="39" t="s">
        <v>38</v>
      </c>
      <c r="D31" s="40" t="s">
        <v>37</v>
      </c>
      <c r="E31" s="36"/>
      <c r="F31" s="41">
        <v>249661229</v>
      </c>
      <c r="G31" s="34" t="s">
        <v>35</v>
      </c>
      <c r="H31" s="34" t="s">
        <v>35</v>
      </c>
      <c r="I31" s="12" t="s">
        <v>234</v>
      </c>
      <c r="J31" s="49" t="s">
        <v>36</v>
      </c>
      <c r="K31" s="12" t="s">
        <v>233</v>
      </c>
      <c r="M31" s="30" t="str">
        <f t="shared" si="6"/>
        <v>Flores,Jorge</v>
      </c>
      <c r="N31" s="32" t="str">
        <f t="shared" si="7"/>
        <v>Jorge Flores</v>
      </c>
    </row>
    <row r="32" spans="1:14" hidden="1">
      <c r="A32" s="45" t="str">
        <f t="shared" si="4"/>
        <v>SLEDcheckreq_249838479_Kinsey,Katherine</v>
      </c>
      <c r="B32" s="46" t="str">
        <f t="shared" si="5"/>
        <v>SledRecreq_249838479_Kinsey,Katherine</v>
      </c>
      <c r="C32" s="39" t="s">
        <v>38</v>
      </c>
      <c r="D32" s="40" t="s">
        <v>37</v>
      </c>
      <c r="E32" s="36"/>
      <c r="F32" s="41">
        <v>249838479</v>
      </c>
      <c r="G32" s="34" t="s">
        <v>35</v>
      </c>
      <c r="H32" s="34" t="s">
        <v>35</v>
      </c>
      <c r="I32" s="12" t="s">
        <v>236</v>
      </c>
      <c r="J32" s="49" t="s">
        <v>36</v>
      </c>
      <c r="K32" s="12" t="s">
        <v>235</v>
      </c>
      <c r="M32" s="30" t="str">
        <f t="shared" si="6"/>
        <v>Kinsey,Katherine</v>
      </c>
      <c r="N32" s="32" t="str">
        <f t="shared" si="7"/>
        <v>Katherine Kinsey</v>
      </c>
    </row>
    <row r="33" spans="1:14" hidden="1">
      <c r="A33" s="45" t="str">
        <f t="shared" si="4"/>
        <v>SLEDcheckreq_249843156_Najeriq,Mentor</v>
      </c>
      <c r="B33" s="46" t="str">
        <f t="shared" si="5"/>
        <v>SledRecreq_249843156_Najeriq,Mentor</v>
      </c>
      <c r="C33" s="39" t="s">
        <v>38</v>
      </c>
      <c r="D33" s="40" t="s">
        <v>37</v>
      </c>
      <c r="E33" s="36"/>
      <c r="F33" s="41">
        <v>249843156</v>
      </c>
      <c r="G33" s="34" t="s">
        <v>35</v>
      </c>
      <c r="H33" s="34" t="s">
        <v>35</v>
      </c>
      <c r="I33" s="12" t="s">
        <v>237</v>
      </c>
      <c r="J33" s="49" t="s">
        <v>36</v>
      </c>
      <c r="K33" s="12" t="s">
        <v>238</v>
      </c>
      <c r="M33" s="30" t="str">
        <f t="shared" si="6"/>
        <v>Najeriq,Mentor</v>
      </c>
      <c r="N33" s="32" t="str">
        <f t="shared" si="7"/>
        <v>Mentor Najeriq</v>
      </c>
    </row>
    <row r="34" spans="1:14" hidden="1">
      <c r="A34" s="45" t="str">
        <f t="shared" si="4"/>
        <v>SLEDcheckreq_249942698_Windmaker,Joseph</v>
      </c>
      <c r="B34" s="46" t="str">
        <f t="shared" si="5"/>
        <v>SledRecreq_249942698_Windmaker,Joseph</v>
      </c>
      <c r="C34" s="39" t="s">
        <v>38</v>
      </c>
      <c r="D34" s="40" t="s">
        <v>37</v>
      </c>
      <c r="E34" s="36"/>
      <c r="F34" s="41">
        <v>249942698</v>
      </c>
      <c r="G34" s="34" t="s">
        <v>35</v>
      </c>
      <c r="H34" s="34" t="s">
        <v>35</v>
      </c>
      <c r="I34" s="12" t="s">
        <v>240</v>
      </c>
      <c r="J34" s="49" t="s">
        <v>36</v>
      </c>
      <c r="K34" s="12" t="s">
        <v>239</v>
      </c>
      <c r="M34" s="30" t="str">
        <f t="shared" si="6"/>
        <v>Windmaker,Joseph</v>
      </c>
      <c r="N34" s="32" t="str">
        <f t="shared" si="7"/>
        <v>Joseph Windmaker</v>
      </c>
    </row>
    <row r="35" spans="1:14" ht="15.75" hidden="1" thickBot="1">
      <c r="A35" s="45" t="str">
        <f t="shared" si="4"/>
        <v>SLEDcheckreq_249947007_Boykin,Carl</v>
      </c>
      <c r="B35" s="46" t="str">
        <f t="shared" si="5"/>
        <v>SledRecreq_249947007_Boykin,Carl</v>
      </c>
      <c r="C35" s="39" t="s">
        <v>38</v>
      </c>
      <c r="D35" s="40" t="s">
        <v>37</v>
      </c>
      <c r="E35" s="36"/>
      <c r="F35" s="41">
        <v>249947007</v>
      </c>
      <c r="G35" s="34" t="s">
        <v>35</v>
      </c>
      <c r="H35" s="34" t="s">
        <v>35</v>
      </c>
      <c r="I35" s="12" t="s">
        <v>241</v>
      </c>
      <c r="J35" s="49" t="s">
        <v>36</v>
      </c>
      <c r="K35" s="12" t="s">
        <v>242</v>
      </c>
      <c r="M35" s="30" t="str">
        <f t="shared" si="6"/>
        <v>Boykin,Carl</v>
      </c>
      <c r="N35" s="32" t="str">
        <f t="shared" si="7"/>
        <v>Carl Boykin</v>
      </c>
    </row>
    <row r="36" spans="1:14" hidden="1">
      <c r="A36" s="45" t="str">
        <f t="shared" si="4"/>
        <v>SLEDcheckreq_249974432_Crowder,Dariol</v>
      </c>
      <c r="B36" s="46" t="str">
        <f t="shared" si="5"/>
        <v>SledRecreq_249974432_Crowder,Dariol</v>
      </c>
      <c r="C36" s="39" t="s">
        <v>38</v>
      </c>
      <c r="D36" s="40" t="s">
        <v>37</v>
      </c>
      <c r="E36" s="36"/>
      <c r="F36" s="41">
        <v>249974432</v>
      </c>
      <c r="G36" s="34" t="s">
        <v>35</v>
      </c>
      <c r="H36" s="34" t="s">
        <v>35</v>
      </c>
      <c r="I36" s="12" t="s">
        <v>243</v>
      </c>
      <c r="J36" s="49" t="s">
        <v>36</v>
      </c>
      <c r="K36" s="12" t="s">
        <v>244</v>
      </c>
      <c r="M36" s="30" t="str">
        <f t="shared" si="6"/>
        <v>Crowder,Dariol</v>
      </c>
      <c r="N36" s="32" t="str">
        <f t="shared" si="7"/>
        <v>Dariol Crowder</v>
      </c>
    </row>
    <row r="37" spans="1:14" hidden="1">
      <c r="A37" s="45" t="str">
        <f t="shared" si="4"/>
        <v>SLEDcheckreq_249976690_Boyd,Faith</v>
      </c>
      <c r="B37" s="46" t="str">
        <f t="shared" si="5"/>
        <v>SledRecreq_249976690_Boyd,Faith</v>
      </c>
      <c r="C37" s="39" t="s">
        <v>38</v>
      </c>
      <c r="D37" s="40" t="s">
        <v>37</v>
      </c>
      <c r="E37" s="36"/>
      <c r="F37" s="12">
        <v>249976690</v>
      </c>
      <c r="G37" s="34" t="s">
        <v>35</v>
      </c>
      <c r="H37" s="34" t="s">
        <v>35</v>
      </c>
      <c r="I37" s="12" t="s">
        <v>245</v>
      </c>
      <c r="J37" s="49" t="s">
        <v>36</v>
      </c>
      <c r="K37" s="12" t="s">
        <v>246</v>
      </c>
      <c r="M37" s="30" t="str">
        <f t="shared" si="6"/>
        <v>Boyd,Faith</v>
      </c>
      <c r="N37" s="32" t="str">
        <f t="shared" si="7"/>
        <v>Faith Boyd</v>
      </c>
    </row>
    <row r="38" spans="1:14" hidden="1">
      <c r="A38" s="45" t="str">
        <f t="shared" si="4"/>
        <v>SLEDcheckreq_250722694_Barrow,Devon</v>
      </c>
      <c r="B38" s="46" t="str">
        <f t="shared" si="5"/>
        <v>SledRecreq_250722694_Barrow,Devon</v>
      </c>
      <c r="C38" s="39" t="s">
        <v>38</v>
      </c>
      <c r="D38" s="40" t="s">
        <v>37</v>
      </c>
      <c r="E38" s="36"/>
      <c r="F38" s="12">
        <v>250722694</v>
      </c>
      <c r="G38" s="34" t="s">
        <v>35</v>
      </c>
      <c r="H38" s="34" t="s">
        <v>35</v>
      </c>
      <c r="I38" s="12" t="s">
        <v>249</v>
      </c>
      <c r="J38" s="49" t="s">
        <v>36</v>
      </c>
      <c r="K38" s="12" t="s">
        <v>250</v>
      </c>
      <c r="M38" s="30" t="str">
        <f t="shared" si="3"/>
        <v>Barrow,Devon</v>
      </c>
      <c r="N38" s="32" t="str">
        <f t="shared" ref="N38" si="8">CONCATENATE(K38," ",I38)</f>
        <v>Devon Barrow</v>
      </c>
    </row>
    <row r="39" spans="1:14" hidden="1">
      <c r="A39" s="45" t="str">
        <f t="shared" si="4"/>
        <v>SLEDcheckreq_251208052_Matthews,Calvin</v>
      </c>
      <c r="B39" s="46" t="str">
        <f t="shared" si="5"/>
        <v>SledRecreq_251208052_Matthews,Calvin</v>
      </c>
      <c r="C39" s="39" t="s">
        <v>38</v>
      </c>
      <c r="D39" s="40" t="s">
        <v>37</v>
      </c>
      <c r="E39" s="36"/>
      <c r="F39" s="12">
        <v>251208052</v>
      </c>
      <c r="G39" s="34" t="s">
        <v>35</v>
      </c>
      <c r="H39" s="34" t="s">
        <v>35</v>
      </c>
      <c r="I39" s="12" t="s">
        <v>251</v>
      </c>
      <c r="J39" s="49" t="s">
        <v>36</v>
      </c>
      <c r="K39" s="12" t="s">
        <v>252</v>
      </c>
      <c r="M39" s="30" t="str">
        <f t="shared" ref="M39:M48" si="9">_xlfn.CONCAT(I39:K39)</f>
        <v>Matthews,Calvin</v>
      </c>
      <c r="N39" s="32" t="str">
        <f t="shared" ref="N39:N48" si="10">CONCATENATE(K39," ",I39)</f>
        <v>Calvin Matthews</v>
      </c>
    </row>
    <row r="40" spans="1:14" hidden="1">
      <c r="A40" s="45" t="str">
        <f t="shared" si="4"/>
        <v>SLEDcheckreq_250784977_Smalls,Kevin</v>
      </c>
      <c r="B40" s="46" t="str">
        <f t="shared" si="5"/>
        <v>SledRecreq_250784977_Smalls,Kevin</v>
      </c>
      <c r="C40" s="39" t="s">
        <v>38</v>
      </c>
      <c r="D40" s="40" t="s">
        <v>37</v>
      </c>
      <c r="E40" s="36"/>
      <c r="F40" s="12">
        <v>250784977</v>
      </c>
      <c r="G40" s="34" t="s">
        <v>35</v>
      </c>
      <c r="H40" s="34" t="s">
        <v>35</v>
      </c>
      <c r="I40" s="12" t="s">
        <v>253</v>
      </c>
      <c r="J40" s="49" t="s">
        <v>36</v>
      </c>
      <c r="K40" s="12" t="s">
        <v>254</v>
      </c>
      <c r="M40" s="30" t="str">
        <f t="shared" si="9"/>
        <v>Smalls,Kevin</v>
      </c>
      <c r="N40" s="32" t="str">
        <f t="shared" si="10"/>
        <v>Kevin Smalls</v>
      </c>
    </row>
    <row r="41" spans="1:14" hidden="1">
      <c r="A41" s="45" t="str">
        <f t="shared" ref="A41:A42" si="11">CONCATENATE(D41,G41,F41,G41,I41,J41,K41)</f>
        <v>SLEDcheckreq_251049372_Knight,Jasmine</v>
      </c>
      <c r="B41" s="46" t="str">
        <f t="shared" ref="B41:B48" si="12">CONCATENATE(C41,H41,F41,H41,I41,J41,K41)</f>
        <v>SledRecreq_251049372_Knight,Jasmine</v>
      </c>
      <c r="C41" s="39" t="s">
        <v>38</v>
      </c>
      <c r="D41" s="40" t="s">
        <v>37</v>
      </c>
      <c r="F41" s="12">
        <v>251049372</v>
      </c>
      <c r="G41" s="34" t="s">
        <v>35</v>
      </c>
      <c r="H41" s="34" t="s">
        <v>35</v>
      </c>
      <c r="I41" s="12" t="s">
        <v>255</v>
      </c>
      <c r="J41" s="49" t="s">
        <v>36</v>
      </c>
      <c r="K41" s="12" t="s">
        <v>256</v>
      </c>
      <c r="M41" s="30" t="str">
        <f t="shared" si="9"/>
        <v>Knight,Jasmine</v>
      </c>
      <c r="N41" s="32" t="str">
        <f t="shared" si="10"/>
        <v>Jasmine Knight</v>
      </c>
    </row>
    <row r="42" spans="1:14" hidden="1">
      <c r="A42" s="45" t="str">
        <f t="shared" si="11"/>
        <v>SLEDcheckreq_251218615_Scarborough,Maya</v>
      </c>
      <c r="B42" s="46" t="str">
        <f t="shared" si="12"/>
        <v>SledRecreq_251218615_Scarborough,Maya</v>
      </c>
      <c r="C42" s="39" t="s">
        <v>38</v>
      </c>
      <c r="D42" s="40" t="s">
        <v>37</v>
      </c>
      <c r="F42" s="12">
        <v>251218615</v>
      </c>
      <c r="G42" s="34" t="s">
        <v>35</v>
      </c>
      <c r="H42" s="34" t="s">
        <v>35</v>
      </c>
      <c r="I42" s="12" t="s">
        <v>258</v>
      </c>
      <c r="J42" s="49" t="s">
        <v>36</v>
      </c>
      <c r="K42" s="12" t="s">
        <v>257</v>
      </c>
      <c r="M42" s="30" t="str">
        <f t="shared" si="9"/>
        <v>Scarborough,Maya</v>
      </c>
      <c r="N42" s="32" t="str">
        <f t="shared" si="10"/>
        <v>Maya Scarborough</v>
      </c>
    </row>
    <row r="43" spans="1:14" hidden="1">
      <c r="A43" s="45" t="str">
        <f t="shared" ref="A43:A48" si="13">CONCATENATE(D43,G43,F43,G43,I43,J43,K43)</f>
        <v>SLEDcheckreq_251328687_Stroman,Tiffany</v>
      </c>
      <c r="B43" s="46" t="str">
        <f t="shared" si="12"/>
        <v>SledRecreq_251328687_Stroman,Tiffany</v>
      </c>
      <c r="C43" s="39" t="s">
        <v>38</v>
      </c>
      <c r="D43" s="40" t="s">
        <v>37</v>
      </c>
      <c r="F43" s="12">
        <v>251328687</v>
      </c>
      <c r="G43" s="34" t="s">
        <v>35</v>
      </c>
      <c r="H43" s="34" t="s">
        <v>35</v>
      </c>
      <c r="I43" s="12" t="s">
        <v>259</v>
      </c>
      <c r="J43" s="49" t="s">
        <v>36</v>
      </c>
      <c r="K43" s="12" t="s">
        <v>260</v>
      </c>
      <c r="M43" s="30" t="str">
        <f t="shared" si="9"/>
        <v>Stroman,Tiffany</v>
      </c>
      <c r="N43" s="32" t="str">
        <f t="shared" si="10"/>
        <v>Tiffany Stroman</v>
      </c>
    </row>
    <row r="44" spans="1:14" hidden="1">
      <c r="A44" s="45" t="str">
        <f t="shared" si="13"/>
        <v>SLEDcheckreq_251362899_Oliver,Keyosha</v>
      </c>
      <c r="B44" s="46" t="str">
        <f t="shared" si="12"/>
        <v>SledRecreq_251362899_Oliver,Keyosha</v>
      </c>
      <c r="C44" s="39" t="s">
        <v>38</v>
      </c>
      <c r="D44" s="40" t="s">
        <v>37</v>
      </c>
      <c r="F44" s="12">
        <v>251362899</v>
      </c>
      <c r="G44" s="34" t="s">
        <v>35</v>
      </c>
      <c r="H44" s="34" t="s">
        <v>35</v>
      </c>
      <c r="I44" s="12" t="s">
        <v>262</v>
      </c>
      <c r="J44" s="49" t="s">
        <v>36</v>
      </c>
      <c r="K44" s="12" t="s">
        <v>261</v>
      </c>
      <c r="M44" s="30" t="str">
        <f t="shared" si="9"/>
        <v>Oliver,Keyosha</v>
      </c>
      <c r="N44" s="32" t="str">
        <f t="shared" si="10"/>
        <v>Keyosha Oliver</v>
      </c>
    </row>
    <row r="45" spans="1:14" hidden="1">
      <c r="A45" s="45" t="str">
        <f t="shared" si="13"/>
        <v>SLEDcheckreq_251430975_Williams,Candace</v>
      </c>
      <c r="B45" s="46" t="str">
        <f t="shared" si="12"/>
        <v>SledRecreq_251430975_Williams,Candace</v>
      </c>
      <c r="C45" s="39" t="s">
        <v>38</v>
      </c>
      <c r="D45" s="40" t="s">
        <v>37</v>
      </c>
      <c r="F45" s="12">
        <v>251430975</v>
      </c>
      <c r="G45" s="34" t="s">
        <v>35</v>
      </c>
      <c r="H45" s="34" t="s">
        <v>35</v>
      </c>
      <c r="I45" s="12" t="s">
        <v>263</v>
      </c>
      <c r="J45" s="49" t="s">
        <v>36</v>
      </c>
      <c r="K45" s="12" t="s">
        <v>264</v>
      </c>
      <c r="M45" s="30" t="str">
        <f t="shared" si="9"/>
        <v>Williams,Candace</v>
      </c>
      <c r="N45" s="32" t="str">
        <f t="shared" si="10"/>
        <v>Candace Williams</v>
      </c>
    </row>
    <row r="46" spans="1:14" hidden="1">
      <c r="A46" s="45" t="str">
        <f t="shared" si="13"/>
        <v>SLEDcheckreq_251645036_Williams,Billy</v>
      </c>
      <c r="B46" s="46" t="str">
        <f t="shared" si="12"/>
        <v>SledRecreq_251645036_Williams,Billy</v>
      </c>
      <c r="C46" s="39" t="s">
        <v>38</v>
      </c>
      <c r="D46" s="40" t="s">
        <v>37</v>
      </c>
      <c r="F46" s="12">
        <v>251645036</v>
      </c>
      <c r="G46" s="34" t="s">
        <v>35</v>
      </c>
      <c r="H46" s="34" t="s">
        <v>35</v>
      </c>
      <c r="I46" s="12" t="s">
        <v>263</v>
      </c>
      <c r="J46" s="49" t="s">
        <v>36</v>
      </c>
      <c r="K46" s="12" t="s">
        <v>265</v>
      </c>
      <c r="M46" s="30" t="str">
        <f t="shared" si="9"/>
        <v>Williams,Billy</v>
      </c>
      <c r="N46" s="32" t="str">
        <f t="shared" si="10"/>
        <v>Billy Williams</v>
      </c>
    </row>
    <row r="47" spans="1:14" hidden="1">
      <c r="A47" s="45" t="str">
        <f t="shared" si="13"/>
        <v>SLEDcheckreq_251907798_Dogan,Angela</v>
      </c>
      <c r="B47" s="46" t="str">
        <f t="shared" si="12"/>
        <v>SledRecreq_251907798_Dogan,Angela</v>
      </c>
      <c r="C47" s="39" t="s">
        <v>38</v>
      </c>
      <c r="D47" s="40" t="s">
        <v>37</v>
      </c>
      <c r="F47" s="41">
        <v>251907798</v>
      </c>
      <c r="G47" s="34" t="s">
        <v>35</v>
      </c>
      <c r="H47" s="34" t="s">
        <v>35</v>
      </c>
      <c r="I47" s="12" t="s">
        <v>277</v>
      </c>
      <c r="J47" s="49" t="s">
        <v>36</v>
      </c>
      <c r="K47" s="43" t="s">
        <v>276</v>
      </c>
      <c r="M47" s="30" t="str">
        <f t="shared" si="9"/>
        <v>Dogan,Angela</v>
      </c>
      <c r="N47" s="32" t="str">
        <f t="shared" si="10"/>
        <v>Angela Dogan</v>
      </c>
    </row>
    <row r="48" spans="1:14" hidden="1">
      <c r="A48" s="45" t="str">
        <f t="shared" si="13"/>
        <v>SLEDcheckreq_252467716_Hill,Cecil</v>
      </c>
      <c r="B48" s="46" t="str">
        <f t="shared" si="12"/>
        <v>SledRecreq_252467716_Hill,Cecil</v>
      </c>
      <c r="C48" s="39" t="s">
        <v>38</v>
      </c>
      <c r="D48" s="40" t="s">
        <v>37</v>
      </c>
      <c r="F48" s="41">
        <v>252467716</v>
      </c>
      <c r="G48" s="117" t="s">
        <v>35</v>
      </c>
      <c r="H48" s="117" t="s">
        <v>35</v>
      </c>
      <c r="I48" s="47" t="s">
        <v>215</v>
      </c>
      <c r="J48" s="49" t="s">
        <v>36</v>
      </c>
      <c r="K48" s="43" t="s">
        <v>278</v>
      </c>
      <c r="M48" s="30" t="str">
        <f t="shared" si="9"/>
        <v>Hill,Cecil</v>
      </c>
      <c r="N48" s="32" t="str">
        <f t="shared" si="10"/>
        <v>Cecil Hill</v>
      </c>
    </row>
    <row r="49" spans="1:14" hidden="1">
      <c r="A49" s="45" t="str">
        <f t="shared" ref="A49:A112" si="14">CONCATENATE(D49,G49,F49,G49,I49,J49,K49)</f>
        <v>SLEDcheckreq_252503359_Clinton,Darren</v>
      </c>
      <c r="B49" s="46" t="str">
        <f t="shared" ref="B49:B112" si="15">CONCATENATE(C49,H49,F49,H49,I49,J49,K49)</f>
        <v>SledRecreq_252503359_Clinton,Darren</v>
      </c>
      <c r="C49" s="39" t="s">
        <v>38</v>
      </c>
      <c r="D49" s="40" t="s">
        <v>37</v>
      </c>
      <c r="F49" s="41">
        <v>252503359</v>
      </c>
      <c r="G49" s="117" t="s">
        <v>35</v>
      </c>
      <c r="H49" s="117" t="s">
        <v>35</v>
      </c>
      <c r="I49" s="47" t="s">
        <v>279</v>
      </c>
      <c r="J49" s="49" t="s">
        <v>36</v>
      </c>
      <c r="K49" s="43" t="s">
        <v>280</v>
      </c>
      <c r="M49" s="30" t="str">
        <f t="shared" ref="M49:M112" si="16">_xlfn.CONCAT(I49:K49)</f>
        <v>Clinton,Darren</v>
      </c>
      <c r="N49" s="32" t="str">
        <f t="shared" ref="N49:N112" si="17">CONCATENATE(K49," ",I49)</f>
        <v>Darren Clinton</v>
      </c>
    </row>
    <row r="50" spans="1:14" hidden="1">
      <c r="A50" s="45" t="str">
        <f t="shared" si="14"/>
        <v>SLEDcheckreq_252690580_Carter,Shannon</v>
      </c>
      <c r="B50" s="46" t="str">
        <f t="shared" si="15"/>
        <v>SledRecreq_252690580_Carter,Shannon</v>
      </c>
      <c r="C50" s="39" t="s">
        <v>38</v>
      </c>
      <c r="D50" s="40" t="s">
        <v>37</v>
      </c>
      <c r="F50" s="41">
        <v>252690580</v>
      </c>
      <c r="G50" s="117" t="s">
        <v>35</v>
      </c>
      <c r="H50" s="117" t="s">
        <v>35</v>
      </c>
      <c r="I50" s="47" t="s">
        <v>284</v>
      </c>
      <c r="J50" s="49" t="s">
        <v>36</v>
      </c>
      <c r="K50" s="43" t="s">
        <v>283</v>
      </c>
      <c r="M50" s="30" t="str">
        <f t="shared" si="16"/>
        <v>Carter,Shannon</v>
      </c>
      <c r="N50" s="32" t="str">
        <f t="shared" si="17"/>
        <v>Shannon Carter</v>
      </c>
    </row>
    <row r="51" spans="1:14" hidden="1">
      <c r="A51" s="45" t="str">
        <f t="shared" si="14"/>
        <v>SLEDcheckreq_252686540_Shealy,Addison</v>
      </c>
      <c r="B51" s="46" t="str">
        <f t="shared" si="15"/>
        <v>SledRecreq_252686540_Shealy,Addison</v>
      </c>
      <c r="C51" s="39" t="s">
        <v>38</v>
      </c>
      <c r="D51" s="40" t="s">
        <v>37</v>
      </c>
      <c r="F51" s="41">
        <v>252686540</v>
      </c>
      <c r="G51" s="117" t="s">
        <v>35</v>
      </c>
      <c r="H51" s="117" t="s">
        <v>35</v>
      </c>
      <c r="I51" s="47" t="s">
        <v>285</v>
      </c>
      <c r="J51" s="49" t="s">
        <v>36</v>
      </c>
      <c r="K51" s="43" t="s">
        <v>286</v>
      </c>
      <c r="M51" s="30" t="str">
        <f t="shared" si="16"/>
        <v>Shealy,Addison</v>
      </c>
      <c r="N51" s="32" t="str">
        <f t="shared" si="17"/>
        <v>Addison Shealy</v>
      </c>
    </row>
    <row r="52" spans="1:14" ht="15.75" hidden="1" thickBot="1">
      <c r="A52" s="45" t="str">
        <f t="shared" si="14"/>
        <v>SLEDcheckreq_252753357_Giviens,Tavia</v>
      </c>
      <c r="B52" s="46" t="str">
        <f t="shared" si="15"/>
        <v>SledRecreq_252753357_Giviens,Tavia</v>
      </c>
      <c r="C52" s="39" t="s">
        <v>38</v>
      </c>
      <c r="D52" s="40" t="s">
        <v>37</v>
      </c>
      <c r="F52" s="41">
        <v>252753357</v>
      </c>
      <c r="G52" s="117" t="s">
        <v>35</v>
      </c>
      <c r="H52" s="117" t="s">
        <v>35</v>
      </c>
      <c r="I52" s="47" t="s">
        <v>288</v>
      </c>
      <c r="J52" s="49" t="s">
        <v>36</v>
      </c>
      <c r="K52" s="43" t="s">
        <v>287</v>
      </c>
      <c r="M52" s="30" t="str">
        <f t="shared" si="16"/>
        <v>Giviens,Tavia</v>
      </c>
      <c r="N52" s="32" t="str">
        <f t="shared" si="17"/>
        <v>Tavia Giviens</v>
      </c>
    </row>
    <row r="53" spans="1:14" hidden="1">
      <c r="A53" s="45" t="str">
        <f t="shared" si="14"/>
        <v>SLEDcheckreq_253046547_Goodson,DOntre</v>
      </c>
      <c r="B53" s="46" t="str">
        <f t="shared" si="15"/>
        <v>SledRecreq_253046547_Goodson,DOntre</v>
      </c>
      <c r="C53" s="39" t="s">
        <v>38</v>
      </c>
      <c r="D53" s="40" t="s">
        <v>37</v>
      </c>
      <c r="F53" s="41">
        <v>253046547</v>
      </c>
      <c r="G53" s="117" t="s">
        <v>35</v>
      </c>
      <c r="H53" s="117" t="s">
        <v>35</v>
      </c>
      <c r="I53" s="47" t="s">
        <v>290</v>
      </c>
      <c r="J53" s="49" t="s">
        <v>36</v>
      </c>
      <c r="K53" s="43" t="s">
        <v>289</v>
      </c>
      <c r="M53" s="30" t="str">
        <f t="shared" si="16"/>
        <v>Goodson,DOntre</v>
      </c>
      <c r="N53" s="32" t="str">
        <f t="shared" si="17"/>
        <v>DOntre Goodson</v>
      </c>
    </row>
    <row r="54" spans="1:14" hidden="1">
      <c r="A54" s="45" t="str">
        <f t="shared" si="14"/>
        <v>SLEDcheckreq_253468923_Childers,Winter</v>
      </c>
      <c r="B54" s="46" t="str">
        <f t="shared" si="15"/>
        <v>SledRecreq_253468923_Childers,Winter</v>
      </c>
      <c r="C54" s="39" t="s">
        <v>38</v>
      </c>
      <c r="D54" s="40" t="s">
        <v>37</v>
      </c>
      <c r="F54" s="41">
        <v>253468923</v>
      </c>
      <c r="G54" s="117" t="s">
        <v>35</v>
      </c>
      <c r="H54" s="117" t="s">
        <v>35</v>
      </c>
      <c r="I54" s="47" t="s">
        <v>291</v>
      </c>
      <c r="J54" s="49" t="s">
        <v>36</v>
      </c>
      <c r="K54" s="43" t="s">
        <v>292</v>
      </c>
      <c r="M54" s="30" t="str">
        <f t="shared" si="16"/>
        <v>Childers,Winter</v>
      </c>
      <c r="N54" s="32" t="str">
        <f t="shared" si="17"/>
        <v>Winter Childers</v>
      </c>
    </row>
    <row r="55" spans="1:14" hidden="1">
      <c r="A55" s="45" t="str">
        <f t="shared" si="14"/>
        <v>SLEDcheckreq_253857341_Parks,Ashlee</v>
      </c>
      <c r="B55" s="46" t="str">
        <f t="shared" si="15"/>
        <v>SledRecreq_253857341_Parks,Ashlee</v>
      </c>
      <c r="C55" s="39" t="s">
        <v>38</v>
      </c>
      <c r="D55" s="40" t="s">
        <v>37</v>
      </c>
      <c r="F55" s="41">
        <v>253857341</v>
      </c>
      <c r="G55" s="117" t="s">
        <v>35</v>
      </c>
      <c r="H55" s="117" t="s">
        <v>35</v>
      </c>
      <c r="I55" s="47" t="s">
        <v>294</v>
      </c>
      <c r="J55" s="49" t="s">
        <v>36</v>
      </c>
      <c r="K55" s="43" t="s">
        <v>293</v>
      </c>
      <c r="M55" s="30" t="str">
        <f t="shared" si="16"/>
        <v>Parks,Ashlee</v>
      </c>
      <c r="N55" s="32" t="str">
        <f t="shared" si="17"/>
        <v>Ashlee Parks</v>
      </c>
    </row>
    <row r="56" spans="1:14" hidden="1">
      <c r="A56" s="45" t="str">
        <f t="shared" si="14"/>
        <v>SLEDcheckreq_254720678_Moore,Nina</v>
      </c>
      <c r="B56" s="46" t="str">
        <f t="shared" si="15"/>
        <v>SledRecreq_254720678_Moore,Nina</v>
      </c>
      <c r="C56" s="39" t="s">
        <v>38</v>
      </c>
      <c r="D56" s="40" t="s">
        <v>37</v>
      </c>
      <c r="F56" s="41">
        <v>254720678</v>
      </c>
      <c r="G56" s="117" t="s">
        <v>35</v>
      </c>
      <c r="H56" s="117" t="s">
        <v>35</v>
      </c>
      <c r="I56" s="47" t="s">
        <v>297</v>
      </c>
      <c r="J56" s="49" t="s">
        <v>36</v>
      </c>
      <c r="K56" s="43" t="s">
        <v>296</v>
      </c>
      <c r="M56" s="30" t="str">
        <f t="shared" si="16"/>
        <v>Moore,Nina</v>
      </c>
      <c r="N56" s="32" t="str">
        <f t="shared" si="17"/>
        <v>Nina Moore</v>
      </c>
    </row>
    <row r="57" spans="1:14" hidden="1">
      <c r="A57" s="45" t="str">
        <f t="shared" si="14"/>
        <v>SLEDcheckreq_255262474_Danzy,Andre</v>
      </c>
      <c r="B57" s="46" t="str">
        <f t="shared" si="15"/>
        <v>SledRecreq_255262474_Danzy,Andre</v>
      </c>
      <c r="C57" s="39" t="s">
        <v>38</v>
      </c>
      <c r="D57" s="40" t="s">
        <v>37</v>
      </c>
      <c r="F57" s="41">
        <v>255262474</v>
      </c>
      <c r="G57" s="117" t="s">
        <v>35</v>
      </c>
      <c r="H57" s="117" t="s">
        <v>35</v>
      </c>
      <c r="I57" s="12" t="s">
        <v>300</v>
      </c>
      <c r="J57" s="49" t="s">
        <v>36</v>
      </c>
      <c r="K57" s="43" t="s">
        <v>299</v>
      </c>
      <c r="M57" s="30" t="str">
        <f t="shared" si="16"/>
        <v>Danzy,Andre</v>
      </c>
      <c r="N57" s="32" t="str">
        <f t="shared" si="17"/>
        <v>Andre Danzy</v>
      </c>
    </row>
    <row r="58" spans="1:14" hidden="1">
      <c r="A58" s="45" t="str">
        <f t="shared" si="14"/>
        <v>SLEDcheckreq_255361449_Mckever,Shardasia</v>
      </c>
      <c r="B58" s="46" t="str">
        <f t="shared" si="15"/>
        <v>SledRecreq_255361449_Mckever,Shardasia</v>
      </c>
      <c r="C58" s="39" t="s">
        <v>38</v>
      </c>
      <c r="D58" s="40" t="s">
        <v>37</v>
      </c>
      <c r="F58" s="41">
        <v>255361449</v>
      </c>
      <c r="G58" s="117" t="s">
        <v>35</v>
      </c>
      <c r="H58" s="117" t="s">
        <v>35</v>
      </c>
      <c r="I58" s="12" t="s">
        <v>302</v>
      </c>
      <c r="J58" s="49" t="s">
        <v>36</v>
      </c>
      <c r="K58" s="43" t="s">
        <v>301</v>
      </c>
      <c r="M58" s="30" t="str">
        <f t="shared" si="16"/>
        <v>Mckever,Shardasia</v>
      </c>
      <c r="N58" s="32" t="str">
        <f t="shared" si="17"/>
        <v>Shardasia Mckever</v>
      </c>
    </row>
    <row r="59" spans="1:14" hidden="1">
      <c r="A59" s="45" t="str">
        <f t="shared" si="14"/>
        <v>SLEDcheckreq_255480726_Burnett,Natasha</v>
      </c>
      <c r="B59" s="46" t="str">
        <f t="shared" si="15"/>
        <v>SledRecreq_255480726_Burnett,Natasha</v>
      </c>
      <c r="C59" s="39" t="s">
        <v>38</v>
      </c>
      <c r="D59" s="40" t="s">
        <v>37</v>
      </c>
      <c r="F59" s="41">
        <v>255480726</v>
      </c>
      <c r="G59" s="117" t="s">
        <v>35</v>
      </c>
      <c r="H59" s="117" t="s">
        <v>35</v>
      </c>
      <c r="I59" s="12" t="s">
        <v>303</v>
      </c>
      <c r="J59" s="49" t="s">
        <v>36</v>
      </c>
      <c r="K59" s="43" t="s">
        <v>304</v>
      </c>
      <c r="M59" s="30" t="str">
        <f t="shared" si="16"/>
        <v>Burnett,Natasha</v>
      </c>
      <c r="N59" s="32" t="str">
        <f t="shared" si="17"/>
        <v>Natasha Burnett</v>
      </c>
    </row>
    <row r="60" spans="1:14" hidden="1">
      <c r="A60" s="45" t="str">
        <f t="shared" si="14"/>
        <v>SLEDcheckreq_255607895_Witt,Donna</v>
      </c>
      <c r="B60" s="46" t="str">
        <f t="shared" si="15"/>
        <v>SledRecreq_255607895_Witt,Donna</v>
      </c>
      <c r="C60" s="39" t="s">
        <v>38</v>
      </c>
      <c r="D60" s="40" t="s">
        <v>37</v>
      </c>
      <c r="F60" s="41">
        <v>255607895</v>
      </c>
      <c r="G60" s="117" t="s">
        <v>35</v>
      </c>
      <c r="H60" s="117" t="s">
        <v>35</v>
      </c>
      <c r="I60" s="12" t="s">
        <v>306</v>
      </c>
      <c r="J60" s="49" t="s">
        <v>36</v>
      </c>
      <c r="K60" s="43" t="s">
        <v>305</v>
      </c>
      <c r="M60" s="30" t="str">
        <f t="shared" si="16"/>
        <v>Witt,Donna</v>
      </c>
      <c r="N60" s="32" t="str">
        <f t="shared" si="17"/>
        <v>Donna Witt</v>
      </c>
    </row>
    <row r="61" spans="1:14" hidden="1">
      <c r="A61" s="45" t="str">
        <f t="shared" si="14"/>
        <v>SLEDcheckreq_255642415_Brown,Tomeka</v>
      </c>
      <c r="B61" s="46" t="str">
        <f t="shared" si="15"/>
        <v>SledRecreq_255642415_Brown,Tomeka</v>
      </c>
      <c r="C61" s="39" t="s">
        <v>38</v>
      </c>
      <c r="D61" s="40" t="s">
        <v>37</v>
      </c>
      <c r="F61" s="41">
        <v>255642415</v>
      </c>
      <c r="G61" s="117" t="s">
        <v>35</v>
      </c>
      <c r="H61" s="117" t="s">
        <v>35</v>
      </c>
      <c r="I61" s="12" t="s">
        <v>307</v>
      </c>
      <c r="J61" s="49" t="s">
        <v>36</v>
      </c>
      <c r="K61" s="43" t="s">
        <v>308</v>
      </c>
      <c r="M61" s="30" t="str">
        <f t="shared" si="16"/>
        <v>Brown,Tomeka</v>
      </c>
      <c r="N61" s="32" t="str">
        <f t="shared" si="17"/>
        <v>Tomeka Brown</v>
      </c>
    </row>
    <row r="62" spans="1:14" hidden="1">
      <c r="A62" s="45" t="str">
        <f t="shared" si="14"/>
        <v>SLEDcheckreq_256197326_Smith,Christopher</v>
      </c>
      <c r="B62" s="46" t="str">
        <f t="shared" si="15"/>
        <v>SledRecreq_256197326_Smith,Christopher</v>
      </c>
      <c r="C62" s="39" t="s">
        <v>38</v>
      </c>
      <c r="D62" s="40" t="s">
        <v>37</v>
      </c>
      <c r="F62" s="41">
        <v>256197326</v>
      </c>
      <c r="G62" s="117" t="s">
        <v>35</v>
      </c>
      <c r="H62" s="117" t="s">
        <v>35</v>
      </c>
      <c r="I62" s="12" t="s">
        <v>226</v>
      </c>
      <c r="J62" s="49" t="s">
        <v>36</v>
      </c>
      <c r="K62" s="43" t="s">
        <v>309</v>
      </c>
      <c r="M62" s="30" t="str">
        <f t="shared" si="16"/>
        <v>Smith,Christopher</v>
      </c>
      <c r="N62" s="32" t="str">
        <f t="shared" si="17"/>
        <v>Christopher Smith</v>
      </c>
    </row>
    <row r="63" spans="1:14" hidden="1">
      <c r="A63" s="45" t="str">
        <f t="shared" si="14"/>
        <v>SLEDcheckreq_256066154_Williams,Sierra</v>
      </c>
      <c r="B63" s="46" t="str">
        <f t="shared" si="15"/>
        <v>SledRecreq_256066154_Williams,Sierra</v>
      </c>
      <c r="C63" s="39" t="s">
        <v>38</v>
      </c>
      <c r="D63" s="40" t="s">
        <v>37</v>
      </c>
      <c r="F63" s="41">
        <v>256066154</v>
      </c>
      <c r="G63" s="117" t="s">
        <v>35</v>
      </c>
      <c r="H63" s="117" t="s">
        <v>35</v>
      </c>
      <c r="I63" s="12" t="s">
        <v>263</v>
      </c>
      <c r="J63" s="49" t="s">
        <v>36</v>
      </c>
      <c r="K63" s="43" t="s">
        <v>310</v>
      </c>
      <c r="M63" s="30" t="str">
        <f t="shared" si="16"/>
        <v>Williams,Sierra</v>
      </c>
      <c r="N63" s="32" t="str">
        <f t="shared" si="17"/>
        <v>Sierra Williams</v>
      </c>
    </row>
    <row r="64" spans="1:14" hidden="1">
      <c r="A64" s="45" t="str">
        <f t="shared" si="14"/>
        <v>SLEDcheckreq_256241004_Harrison,Reggie</v>
      </c>
      <c r="B64" s="46" t="str">
        <f t="shared" si="15"/>
        <v>SledRecreq_256241004_Harrison,Reggie</v>
      </c>
      <c r="C64" s="39" t="s">
        <v>38</v>
      </c>
      <c r="D64" s="40" t="s">
        <v>37</v>
      </c>
      <c r="F64" s="41">
        <v>256241004</v>
      </c>
      <c r="G64" s="117" t="s">
        <v>35</v>
      </c>
      <c r="H64" s="117" t="s">
        <v>35</v>
      </c>
      <c r="I64" s="12" t="s">
        <v>312</v>
      </c>
      <c r="J64" s="49" t="s">
        <v>36</v>
      </c>
      <c r="K64" s="43" t="s">
        <v>311</v>
      </c>
      <c r="M64" s="30" t="str">
        <f t="shared" si="16"/>
        <v>Harrison,Reggie</v>
      </c>
      <c r="N64" s="32" t="str">
        <f t="shared" si="17"/>
        <v>Reggie Harrison</v>
      </c>
    </row>
    <row r="65" spans="1:14" hidden="1">
      <c r="A65" s="45" t="str">
        <f t="shared" si="14"/>
        <v>SLEDcheckreq_256445664_Baskerville,Wayne</v>
      </c>
      <c r="B65" s="46" t="str">
        <f t="shared" si="15"/>
        <v>SledRecreq_256445664_Baskerville,Wayne</v>
      </c>
      <c r="C65" s="39" t="s">
        <v>38</v>
      </c>
      <c r="D65" s="40" t="s">
        <v>37</v>
      </c>
      <c r="F65" s="41">
        <v>256445664</v>
      </c>
      <c r="G65" s="117" t="s">
        <v>35</v>
      </c>
      <c r="H65" s="117" t="s">
        <v>35</v>
      </c>
      <c r="I65" s="12" t="s">
        <v>314</v>
      </c>
      <c r="J65" s="49" t="s">
        <v>36</v>
      </c>
      <c r="K65" s="43" t="s">
        <v>313</v>
      </c>
      <c r="M65" s="30" t="str">
        <f t="shared" si="16"/>
        <v>Baskerville,Wayne</v>
      </c>
      <c r="N65" s="32" t="str">
        <f t="shared" si="17"/>
        <v>Wayne Baskerville</v>
      </c>
    </row>
    <row r="66" spans="1:14" hidden="1">
      <c r="A66" s="45" t="str">
        <f t="shared" si="14"/>
        <v>SLEDcheckreq_256460409_Phillips,Fredrick</v>
      </c>
      <c r="B66" s="46" t="str">
        <f t="shared" si="15"/>
        <v>SledRecreq_256460409_Phillips,Fredrick</v>
      </c>
      <c r="C66" s="39" t="s">
        <v>38</v>
      </c>
      <c r="D66" s="40" t="s">
        <v>37</v>
      </c>
      <c r="F66" s="41">
        <v>256460409</v>
      </c>
      <c r="G66" s="117" t="s">
        <v>35</v>
      </c>
      <c r="H66" s="117" t="s">
        <v>35</v>
      </c>
      <c r="I66" s="12" t="s">
        <v>316</v>
      </c>
      <c r="J66" s="49" t="s">
        <v>36</v>
      </c>
      <c r="K66" s="43" t="s">
        <v>315</v>
      </c>
      <c r="M66" s="30" t="str">
        <f t="shared" si="16"/>
        <v>Phillips,Fredrick</v>
      </c>
      <c r="N66" s="32" t="str">
        <f t="shared" si="17"/>
        <v>Fredrick Phillips</v>
      </c>
    </row>
    <row r="67" spans="1:14" hidden="1">
      <c r="A67" s="45" t="str">
        <f t="shared" si="14"/>
        <v>SLEDcheckreq_256982714_Coleman,Romero</v>
      </c>
      <c r="B67" s="46" t="str">
        <f t="shared" si="15"/>
        <v>SledRecreq_256982714_Coleman,Romero</v>
      </c>
      <c r="C67" s="39" t="s">
        <v>38</v>
      </c>
      <c r="D67" s="40" t="s">
        <v>37</v>
      </c>
      <c r="F67" s="41">
        <v>256982714</v>
      </c>
      <c r="G67" s="117" t="s">
        <v>35</v>
      </c>
      <c r="H67" s="117" t="s">
        <v>35</v>
      </c>
      <c r="I67" s="12" t="s">
        <v>318</v>
      </c>
      <c r="J67" s="49" t="s">
        <v>36</v>
      </c>
      <c r="K67" s="43" t="s">
        <v>317</v>
      </c>
      <c r="M67" s="30" t="str">
        <f t="shared" si="16"/>
        <v>Coleman,Romero</v>
      </c>
      <c r="N67" s="32" t="str">
        <f t="shared" si="17"/>
        <v>Romero Coleman</v>
      </c>
    </row>
    <row r="68" spans="1:14" hidden="1">
      <c r="A68" s="45" t="str">
        <f t="shared" si="14"/>
        <v xml:space="preserve">SLEDcheckreq_255990241_Grajek,Joshua </v>
      </c>
      <c r="B68" s="46" t="str">
        <f t="shared" si="15"/>
        <v xml:space="preserve">SledRecreq_255990241_Grajek,Joshua </v>
      </c>
      <c r="C68" s="39" t="s">
        <v>38</v>
      </c>
      <c r="D68" s="40" t="s">
        <v>37</v>
      </c>
      <c r="F68" s="41">
        <v>255990241</v>
      </c>
      <c r="G68" s="117" t="s">
        <v>35</v>
      </c>
      <c r="H68" s="117" t="s">
        <v>35</v>
      </c>
      <c r="I68" s="47" t="s">
        <v>321</v>
      </c>
      <c r="J68" s="49" t="s">
        <v>36</v>
      </c>
      <c r="K68" s="43" t="s">
        <v>320</v>
      </c>
      <c r="M68" s="30" t="str">
        <f t="shared" si="16"/>
        <v xml:space="preserve">Grajek,Joshua </v>
      </c>
      <c r="N68" s="32" t="str">
        <f t="shared" si="17"/>
        <v>Joshua  Grajek</v>
      </c>
    </row>
    <row r="69" spans="1:14" hidden="1">
      <c r="A69" s="45" t="str">
        <f t="shared" si="14"/>
        <v>SLEDcheckreq_257878328_Douglas,Marcquel</v>
      </c>
      <c r="B69" s="46" t="str">
        <f t="shared" si="15"/>
        <v>SledRecreq_257878328_Douglas,Marcquel</v>
      </c>
      <c r="C69" s="39" t="s">
        <v>38</v>
      </c>
      <c r="D69" s="40" t="s">
        <v>37</v>
      </c>
      <c r="F69" s="41">
        <v>257878328</v>
      </c>
      <c r="G69" s="117" t="s">
        <v>35</v>
      </c>
      <c r="H69" s="117" t="s">
        <v>35</v>
      </c>
      <c r="I69" s="12" t="s">
        <v>323</v>
      </c>
      <c r="J69" s="49" t="s">
        <v>36</v>
      </c>
      <c r="K69" s="43" t="s">
        <v>322</v>
      </c>
      <c r="M69" s="30" t="str">
        <f t="shared" si="16"/>
        <v>Douglas,Marcquel</v>
      </c>
      <c r="N69" s="32" t="str">
        <f t="shared" si="17"/>
        <v>Marcquel Douglas</v>
      </c>
    </row>
    <row r="70" spans="1:14" hidden="1">
      <c r="A70" s="45" t="str">
        <f t="shared" si="14"/>
        <v>SLEDcheckreq_257946725_Babb,Keila</v>
      </c>
      <c r="B70" s="46" t="str">
        <f t="shared" si="15"/>
        <v>SledRecreq_257946725_Babb,Keila</v>
      </c>
      <c r="C70" s="39" t="s">
        <v>38</v>
      </c>
      <c r="D70" s="40" t="s">
        <v>37</v>
      </c>
      <c r="F70" s="41">
        <v>257946725</v>
      </c>
      <c r="G70" s="117" t="s">
        <v>35</v>
      </c>
      <c r="H70" s="117" t="s">
        <v>35</v>
      </c>
      <c r="I70" s="12" t="s">
        <v>324</v>
      </c>
      <c r="J70" s="49" t="s">
        <v>36</v>
      </c>
      <c r="K70" s="43" t="s">
        <v>325</v>
      </c>
      <c r="M70" s="30" t="str">
        <f t="shared" si="16"/>
        <v>Babb,Keila</v>
      </c>
      <c r="N70" s="32" t="str">
        <f t="shared" si="17"/>
        <v>Keila Babb</v>
      </c>
    </row>
    <row r="71" spans="1:14" hidden="1">
      <c r="A71" s="45" t="str">
        <f t="shared" si="14"/>
        <v>SLEDcheckreq_258149769_Davis,Linda</v>
      </c>
      <c r="B71" s="46" t="str">
        <f t="shared" si="15"/>
        <v>SledRecreq_258149769_Davis,Linda</v>
      </c>
      <c r="C71" s="39" t="s">
        <v>38</v>
      </c>
      <c r="D71" s="40" t="s">
        <v>37</v>
      </c>
      <c r="F71" s="41">
        <v>258149769</v>
      </c>
      <c r="G71" s="117" t="s">
        <v>35</v>
      </c>
      <c r="H71" s="117" t="s">
        <v>35</v>
      </c>
      <c r="I71" s="12" t="s">
        <v>213</v>
      </c>
      <c r="J71" s="49" t="s">
        <v>36</v>
      </c>
      <c r="K71" s="43" t="s">
        <v>326</v>
      </c>
      <c r="M71" s="30" t="str">
        <f t="shared" si="16"/>
        <v>Davis,Linda</v>
      </c>
      <c r="N71" s="32" t="str">
        <f t="shared" si="17"/>
        <v>Linda Davis</v>
      </c>
    </row>
    <row r="72" spans="1:14" hidden="1">
      <c r="A72" s="45" t="str">
        <f t="shared" si="14"/>
        <v>SLEDcheckreq_259341283_Vera,Alexius</v>
      </c>
      <c r="B72" s="46" t="str">
        <f t="shared" si="15"/>
        <v>SledRecreq_259341283_Vera,Alexius</v>
      </c>
      <c r="C72" s="39" t="s">
        <v>38</v>
      </c>
      <c r="D72" s="40" t="s">
        <v>37</v>
      </c>
      <c r="F72" s="41">
        <v>259341283</v>
      </c>
      <c r="G72" s="117" t="s">
        <v>35</v>
      </c>
      <c r="H72" s="117" t="s">
        <v>35</v>
      </c>
      <c r="I72" s="12" t="s">
        <v>333</v>
      </c>
      <c r="J72" s="49" t="s">
        <v>36</v>
      </c>
      <c r="K72" s="43" t="s">
        <v>334</v>
      </c>
      <c r="M72" s="30" t="str">
        <f t="shared" si="16"/>
        <v>Vera,Alexius</v>
      </c>
      <c r="N72" s="32" t="str">
        <f t="shared" si="17"/>
        <v>Alexius Vera</v>
      </c>
    </row>
    <row r="73" spans="1:14" hidden="1">
      <c r="A73" s="45" t="str">
        <f t="shared" si="14"/>
        <v>SLEDcheckreq_259515631_Hoalt,Michael</v>
      </c>
      <c r="B73" s="46" t="str">
        <f t="shared" si="15"/>
        <v>SledRecreq_259515631_Hoalt,Michael</v>
      </c>
      <c r="C73" s="39" t="s">
        <v>38</v>
      </c>
      <c r="D73" s="40" t="s">
        <v>37</v>
      </c>
      <c r="F73" s="41">
        <v>259515631</v>
      </c>
      <c r="G73" s="117" t="s">
        <v>35</v>
      </c>
      <c r="H73" s="117" t="s">
        <v>35</v>
      </c>
      <c r="I73" s="12" t="s">
        <v>336</v>
      </c>
      <c r="J73" s="49" t="s">
        <v>36</v>
      </c>
      <c r="K73" s="43" t="s">
        <v>335</v>
      </c>
      <c r="M73" s="30" t="str">
        <f t="shared" si="16"/>
        <v>Hoalt,Michael</v>
      </c>
      <c r="N73" s="32" t="str">
        <f t="shared" si="17"/>
        <v>Michael Hoalt</v>
      </c>
    </row>
    <row r="74" spans="1:14" hidden="1">
      <c r="A74" s="45" t="str">
        <f t="shared" si="14"/>
        <v>SLEDcheckreq_259886130_Railey,Rachel</v>
      </c>
      <c r="B74" s="46" t="str">
        <f t="shared" si="15"/>
        <v>SledRecreq_259886130_Railey,Rachel</v>
      </c>
      <c r="C74" s="39" t="s">
        <v>38</v>
      </c>
      <c r="D74" s="40" t="s">
        <v>37</v>
      </c>
      <c r="F74" s="41">
        <v>259886130</v>
      </c>
      <c r="G74" s="117" t="s">
        <v>35</v>
      </c>
      <c r="H74" s="117" t="s">
        <v>35</v>
      </c>
      <c r="I74" s="12" t="s">
        <v>340</v>
      </c>
      <c r="J74" s="49" t="s">
        <v>36</v>
      </c>
      <c r="K74" s="43" t="s">
        <v>339</v>
      </c>
      <c r="M74" s="30" t="str">
        <f t="shared" si="16"/>
        <v>Railey,Rachel</v>
      </c>
      <c r="N74" s="32" t="str">
        <f t="shared" si="17"/>
        <v>Rachel Railey</v>
      </c>
    </row>
    <row r="75" spans="1:14" hidden="1">
      <c r="A75" s="45" t="str">
        <f t="shared" si="14"/>
        <v>SLEDcheckreq_260238998_Kirkland,Justin</v>
      </c>
      <c r="B75" s="46" t="str">
        <f t="shared" si="15"/>
        <v>SledRecreq_260238998_Kirkland,Justin</v>
      </c>
      <c r="C75" s="39" t="s">
        <v>38</v>
      </c>
      <c r="D75" s="40" t="s">
        <v>37</v>
      </c>
      <c r="F75" s="41">
        <v>260238998</v>
      </c>
      <c r="G75" s="117" t="s">
        <v>35</v>
      </c>
      <c r="H75" s="117" t="s">
        <v>35</v>
      </c>
      <c r="I75" s="12" t="s">
        <v>342</v>
      </c>
      <c r="J75" s="49" t="s">
        <v>36</v>
      </c>
      <c r="K75" s="43" t="s">
        <v>341</v>
      </c>
      <c r="M75" s="30" t="str">
        <f t="shared" si="16"/>
        <v>Kirkland,Justin</v>
      </c>
      <c r="N75" s="32" t="str">
        <f t="shared" si="17"/>
        <v>Justin Kirkland</v>
      </c>
    </row>
    <row r="76" spans="1:14" hidden="1">
      <c r="A76" s="45" t="str">
        <f t="shared" si="14"/>
        <v>SLEDcheckreq_260243266_McMinn,Monica</v>
      </c>
      <c r="B76" s="46" t="str">
        <f t="shared" si="15"/>
        <v>SledRecreq_260243266_McMinn,Monica</v>
      </c>
      <c r="C76" s="39" t="s">
        <v>38</v>
      </c>
      <c r="D76" s="40" t="s">
        <v>37</v>
      </c>
      <c r="F76" s="41">
        <v>260243266</v>
      </c>
      <c r="G76" s="117" t="s">
        <v>35</v>
      </c>
      <c r="H76" s="117" t="s">
        <v>35</v>
      </c>
      <c r="I76" s="12" t="s">
        <v>344</v>
      </c>
      <c r="J76" s="49" t="s">
        <v>36</v>
      </c>
      <c r="K76" s="43" t="s">
        <v>343</v>
      </c>
      <c r="M76" s="30" t="str">
        <f t="shared" si="16"/>
        <v>McMinn,Monica</v>
      </c>
      <c r="N76" s="32" t="str">
        <f t="shared" si="17"/>
        <v>Monica McMinn</v>
      </c>
    </row>
    <row r="77" spans="1:14" hidden="1">
      <c r="A77" s="45" t="str">
        <f t="shared" si="14"/>
        <v>SLEDcheckreq_262714313_Smith,Jeffery</v>
      </c>
      <c r="B77" s="46" t="str">
        <f t="shared" si="15"/>
        <v>SledRecreq_262714313_Smith,Jeffery</v>
      </c>
      <c r="C77" s="39" t="s">
        <v>38</v>
      </c>
      <c r="D77" s="40" t="s">
        <v>37</v>
      </c>
      <c r="F77" s="41">
        <v>262714313</v>
      </c>
      <c r="G77" s="117" t="s">
        <v>35</v>
      </c>
      <c r="H77" s="117" t="s">
        <v>35</v>
      </c>
      <c r="I77" s="12" t="s">
        <v>226</v>
      </c>
      <c r="J77" s="49" t="s">
        <v>36</v>
      </c>
      <c r="K77" s="43" t="s">
        <v>354</v>
      </c>
      <c r="M77" s="30" t="str">
        <f t="shared" si="16"/>
        <v>Smith,Jeffery</v>
      </c>
      <c r="N77" s="32" t="str">
        <f t="shared" si="17"/>
        <v>Jeffery Smith</v>
      </c>
    </row>
    <row r="78" spans="1:14" hidden="1">
      <c r="A78" s="45" t="str">
        <f t="shared" si="14"/>
        <v>SLEDcheckreq_262716057_ONEAL,SONJA</v>
      </c>
      <c r="B78" s="46" t="str">
        <f t="shared" si="15"/>
        <v>SledRecreq_262716057_ONEAL,SONJA</v>
      </c>
      <c r="C78" s="39" t="s">
        <v>38</v>
      </c>
      <c r="D78" s="40" t="s">
        <v>37</v>
      </c>
      <c r="F78" s="41">
        <v>262716057</v>
      </c>
      <c r="G78" s="117" t="s">
        <v>35</v>
      </c>
      <c r="H78" s="117" t="s">
        <v>35</v>
      </c>
      <c r="I78" s="12" t="s">
        <v>356</v>
      </c>
      <c r="J78" s="49" t="s">
        <v>36</v>
      </c>
      <c r="K78" s="43" t="s">
        <v>355</v>
      </c>
      <c r="M78" s="30" t="str">
        <f t="shared" si="16"/>
        <v>ONEAL,SONJA</v>
      </c>
      <c r="N78" s="32" t="str">
        <f t="shared" si="17"/>
        <v>SONJA ONEAL</v>
      </c>
    </row>
    <row r="79" spans="1:14" hidden="1">
      <c r="A79" s="45" t="str">
        <f t="shared" si="14"/>
        <v>SLEDcheckreq_263847638_Kilgore,Tatianna</v>
      </c>
      <c r="B79" s="46" t="str">
        <f t="shared" si="15"/>
        <v>SledRecreq_263847638_Kilgore,Tatianna</v>
      </c>
      <c r="C79" s="39" t="s">
        <v>38</v>
      </c>
      <c r="D79" s="40" t="s">
        <v>37</v>
      </c>
      <c r="F79" s="41">
        <v>263847638</v>
      </c>
      <c r="G79" s="117" t="s">
        <v>35</v>
      </c>
      <c r="H79" s="117" t="s">
        <v>35</v>
      </c>
      <c r="I79" s="12" t="s">
        <v>358</v>
      </c>
      <c r="J79" s="49" t="s">
        <v>36</v>
      </c>
      <c r="K79" s="43" t="s">
        <v>357</v>
      </c>
      <c r="M79" s="30" t="str">
        <f t="shared" si="16"/>
        <v>Kilgore,Tatianna</v>
      </c>
      <c r="N79" s="32" t="str">
        <f t="shared" si="17"/>
        <v>Tatianna Kilgore</v>
      </c>
    </row>
    <row r="80" spans="1:14" hidden="1">
      <c r="A80" s="45" t="str">
        <f t="shared" si="14"/>
        <v>SLEDcheckreq_263987524_Robinson,Monica</v>
      </c>
      <c r="B80" s="46" t="str">
        <f t="shared" si="15"/>
        <v>SledRecreq_263987524_Robinson,Monica</v>
      </c>
      <c r="C80" s="39" t="s">
        <v>38</v>
      </c>
      <c r="D80" s="40" t="s">
        <v>37</v>
      </c>
      <c r="F80" s="41">
        <v>263987524</v>
      </c>
      <c r="G80" s="117" t="s">
        <v>35</v>
      </c>
      <c r="H80" s="117" t="s">
        <v>35</v>
      </c>
      <c r="I80" s="12" t="s">
        <v>359</v>
      </c>
      <c r="J80" s="49" t="s">
        <v>36</v>
      </c>
      <c r="K80" s="43" t="s">
        <v>343</v>
      </c>
      <c r="M80" s="30" t="str">
        <f t="shared" si="16"/>
        <v>Robinson,Monica</v>
      </c>
      <c r="N80" s="32" t="str">
        <f t="shared" si="17"/>
        <v>Monica Robinson</v>
      </c>
    </row>
    <row r="81" spans="1:14" hidden="1">
      <c r="A81" s="45" t="str">
        <f t="shared" si="14"/>
        <v>SLEDcheckreq_264217307_Tucker,Craig</v>
      </c>
      <c r="B81" s="46" t="str">
        <f t="shared" si="15"/>
        <v>SledRecreq_264217307_Tucker,Craig</v>
      </c>
      <c r="C81" s="39" t="s">
        <v>38</v>
      </c>
      <c r="D81" s="40" t="s">
        <v>37</v>
      </c>
      <c r="F81" s="41">
        <v>264217307</v>
      </c>
      <c r="G81" s="117" t="s">
        <v>35</v>
      </c>
      <c r="H81" s="117" t="s">
        <v>35</v>
      </c>
      <c r="I81" s="12" t="s">
        <v>362</v>
      </c>
      <c r="J81" s="49" t="s">
        <v>36</v>
      </c>
      <c r="K81" s="43" t="s">
        <v>361</v>
      </c>
      <c r="M81" s="30" t="str">
        <f t="shared" si="16"/>
        <v>Tucker,Craig</v>
      </c>
      <c r="N81" s="32" t="str">
        <f t="shared" si="17"/>
        <v>Craig Tucker</v>
      </c>
    </row>
    <row r="82" spans="1:14" hidden="1">
      <c r="A82" s="45" t="str">
        <f t="shared" si="14"/>
        <v>SLEDcheckreq_263384377_Thompson,Dominique</v>
      </c>
      <c r="B82" s="46" t="str">
        <f t="shared" si="15"/>
        <v>SledRecreq_263384377_Thompson,Dominique</v>
      </c>
      <c r="C82" s="39" t="s">
        <v>38</v>
      </c>
      <c r="D82" s="40" t="s">
        <v>37</v>
      </c>
      <c r="F82" s="41">
        <v>263384377</v>
      </c>
      <c r="G82" s="117" t="s">
        <v>35</v>
      </c>
      <c r="H82" s="117" t="s">
        <v>35</v>
      </c>
      <c r="I82" s="12" t="s">
        <v>363</v>
      </c>
      <c r="J82" s="49" t="s">
        <v>36</v>
      </c>
      <c r="K82" s="43" t="s">
        <v>364</v>
      </c>
      <c r="M82" s="30" t="str">
        <f t="shared" si="16"/>
        <v>Thompson,Dominique</v>
      </c>
      <c r="N82" s="32" t="str">
        <f t="shared" si="17"/>
        <v>Dominique Thompson</v>
      </c>
    </row>
    <row r="83" spans="1:14" hidden="1">
      <c r="A83" s="45" t="str">
        <f t="shared" si="14"/>
        <v>SLEDcheckreq_265655455_DuBose,Ariel</v>
      </c>
      <c r="B83" s="46" t="str">
        <f t="shared" si="15"/>
        <v>SledRecreq_265655455_DuBose,Ariel</v>
      </c>
      <c r="C83" s="39" t="s">
        <v>38</v>
      </c>
      <c r="D83" s="40" t="s">
        <v>37</v>
      </c>
      <c r="F83" s="41">
        <v>265655455</v>
      </c>
      <c r="G83" s="117" t="s">
        <v>35</v>
      </c>
      <c r="H83" s="117" t="s">
        <v>35</v>
      </c>
      <c r="I83" s="12" t="s">
        <v>366</v>
      </c>
      <c r="J83" s="49" t="s">
        <v>36</v>
      </c>
      <c r="K83" s="43" t="s">
        <v>365</v>
      </c>
      <c r="M83" s="30" t="str">
        <f t="shared" si="16"/>
        <v>DuBose,Ariel</v>
      </c>
      <c r="N83" s="32" t="str">
        <f t="shared" si="17"/>
        <v>Ariel DuBose</v>
      </c>
    </row>
    <row r="84" spans="1:14" hidden="1">
      <c r="A84" s="45" t="str">
        <f t="shared" si="14"/>
        <v>SLEDcheckreq_265657236_Brown,Kwanza</v>
      </c>
      <c r="B84" s="46" t="str">
        <f t="shared" si="15"/>
        <v>SledRecreq_265657236_Brown,Kwanza</v>
      </c>
      <c r="C84" s="39" t="s">
        <v>38</v>
      </c>
      <c r="D84" s="40" t="s">
        <v>37</v>
      </c>
      <c r="F84" s="41">
        <v>265657236</v>
      </c>
      <c r="G84" s="117" t="s">
        <v>35</v>
      </c>
      <c r="H84" s="117" t="s">
        <v>35</v>
      </c>
      <c r="I84" s="12" t="s">
        <v>307</v>
      </c>
      <c r="J84" s="49" t="s">
        <v>36</v>
      </c>
      <c r="K84" s="43" t="s">
        <v>367</v>
      </c>
      <c r="M84" s="30" t="str">
        <f t="shared" si="16"/>
        <v>Brown,Kwanza</v>
      </c>
      <c r="N84" s="32" t="str">
        <f t="shared" si="17"/>
        <v>Kwanza Brown</v>
      </c>
    </row>
    <row r="85" spans="1:14" hidden="1">
      <c r="A85" s="45" t="str">
        <f t="shared" si="14"/>
        <v>SLEDcheckreq_265683865_Brooks,Tracy</v>
      </c>
      <c r="B85" s="46" t="str">
        <f t="shared" si="15"/>
        <v>SledRecreq_265683865_Brooks,Tracy</v>
      </c>
      <c r="C85" s="39" t="s">
        <v>38</v>
      </c>
      <c r="D85" s="40" t="s">
        <v>37</v>
      </c>
      <c r="F85" s="41">
        <v>265683865</v>
      </c>
      <c r="G85" s="117" t="s">
        <v>35</v>
      </c>
      <c r="H85" s="117" t="s">
        <v>35</v>
      </c>
      <c r="I85" s="12" t="s">
        <v>369</v>
      </c>
      <c r="J85" s="49" t="s">
        <v>36</v>
      </c>
      <c r="K85" s="43" t="s">
        <v>368</v>
      </c>
      <c r="M85" s="30" t="str">
        <f t="shared" si="16"/>
        <v>Brooks,Tracy</v>
      </c>
      <c r="N85" s="32" t="str">
        <f t="shared" si="17"/>
        <v>Tracy Brooks</v>
      </c>
    </row>
    <row r="86" spans="1:14" hidden="1">
      <c r="A86" s="45" t="str">
        <f t="shared" si="14"/>
        <v>SLEDcheckreq_265709122_Cannon,Kim</v>
      </c>
      <c r="B86" s="46" t="str">
        <f t="shared" si="15"/>
        <v>SledRecreq_265709122_Cannon,Kim</v>
      </c>
      <c r="C86" s="39" t="s">
        <v>38</v>
      </c>
      <c r="D86" s="40" t="s">
        <v>37</v>
      </c>
      <c r="F86" s="41">
        <v>265709122</v>
      </c>
      <c r="G86" s="117" t="s">
        <v>35</v>
      </c>
      <c r="H86" s="117" t="s">
        <v>35</v>
      </c>
      <c r="I86" s="12" t="s">
        <v>371</v>
      </c>
      <c r="J86" s="49" t="s">
        <v>36</v>
      </c>
      <c r="K86" s="43" t="s">
        <v>370</v>
      </c>
      <c r="M86" s="30" t="str">
        <f t="shared" si="16"/>
        <v>Cannon,Kim</v>
      </c>
      <c r="N86" s="32" t="str">
        <f t="shared" si="17"/>
        <v>Kim Cannon</v>
      </c>
    </row>
    <row r="87" spans="1:14" hidden="1">
      <c r="A87" s="45" t="str">
        <f t="shared" si="14"/>
        <v>SLEDcheckreq_266258412_Felder,Nicole</v>
      </c>
      <c r="B87" s="46" t="str">
        <f t="shared" si="15"/>
        <v>SledRecreq_266258412_Felder,Nicole</v>
      </c>
      <c r="C87" s="39" t="s">
        <v>38</v>
      </c>
      <c r="D87" s="40" t="s">
        <v>37</v>
      </c>
      <c r="F87" s="41">
        <v>266258412</v>
      </c>
      <c r="G87" s="117" t="s">
        <v>35</v>
      </c>
      <c r="H87" s="117" t="s">
        <v>35</v>
      </c>
      <c r="I87" s="12" t="s">
        <v>372</v>
      </c>
      <c r="J87" s="49" t="s">
        <v>36</v>
      </c>
      <c r="K87" s="43" t="s">
        <v>373</v>
      </c>
      <c r="M87" s="30" t="str">
        <f t="shared" si="16"/>
        <v>Felder,Nicole</v>
      </c>
      <c r="N87" s="32" t="str">
        <f t="shared" si="17"/>
        <v>Nicole Felder</v>
      </c>
    </row>
    <row r="88" spans="1:14" hidden="1">
      <c r="A88" s="45" t="str">
        <f t="shared" si="14"/>
        <v>SLEDcheckreq_266280236_Perrin,Judious</v>
      </c>
      <c r="B88" s="46" t="str">
        <f t="shared" si="15"/>
        <v>SledRecreq_266280236_Perrin,Judious</v>
      </c>
      <c r="C88" s="39" t="s">
        <v>38</v>
      </c>
      <c r="D88" s="40" t="s">
        <v>37</v>
      </c>
      <c r="F88" s="41">
        <v>266280236</v>
      </c>
      <c r="G88" s="117" t="s">
        <v>35</v>
      </c>
      <c r="H88" s="117" t="s">
        <v>35</v>
      </c>
      <c r="I88" s="12" t="s">
        <v>374</v>
      </c>
      <c r="J88" s="49" t="s">
        <v>36</v>
      </c>
      <c r="K88" s="43" t="s">
        <v>375</v>
      </c>
      <c r="M88" s="30" t="str">
        <f t="shared" si="16"/>
        <v>Perrin,Judious</v>
      </c>
      <c r="N88" s="32" t="str">
        <f t="shared" si="17"/>
        <v>Judious Perrin</v>
      </c>
    </row>
    <row r="89" spans="1:14" hidden="1">
      <c r="A89" s="45" t="str">
        <f t="shared" si="14"/>
        <v>SLEDcheckreq_266437218_HARTZOG,FELICIA</v>
      </c>
      <c r="B89" s="46" t="str">
        <f t="shared" si="15"/>
        <v>SledRecreq_266437218_HARTZOG,FELICIA</v>
      </c>
      <c r="C89" s="39" t="s">
        <v>38</v>
      </c>
      <c r="D89" s="40" t="s">
        <v>37</v>
      </c>
      <c r="F89" s="41">
        <v>266437218</v>
      </c>
      <c r="G89" s="117" t="s">
        <v>35</v>
      </c>
      <c r="H89" s="117" t="s">
        <v>35</v>
      </c>
      <c r="I89" s="12" t="s">
        <v>380</v>
      </c>
      <c r="J89" s="49" t="s">
        <v>36</v>
      </c>
      <c r="K89" s="43" t="s">
        <v>379</v>
      </c>
      <c r="M89" s="30" t="str">
        <f t="shared" si="16"/>
        <v>HARTZOG,FELICIA</v>
      </c>
      <c r="N89" s="32" t="str">
        <f t="shared" si="17"/>
        <v>FELICIA HARTZOG</v>
      </c>
    </row>
    <row r="90" spans="1:14" hidden="1">
      <c r="A90" s="45" t="str">
        <f t="shared" si="14"/>
        <v>SLEDcheckreq_266675011_Griph,Shana</v>
      </c>
      <c r="B90" s="46" t="str">
        <f t="shared" si="15"/>
        <v>SledRecreq_266675011_Griph,Shana</v>
      </c>
      <c r="C90" s="39" t="s">
        <v>38</v>
      </c>
      <c r="D90" s="40" t="s">
        <v>37</v>
      </c>
      <c r="F90" s="12">
        <v>266675011</v>
      </c>
      <c r="G90" s="117" t="s">
        <v>35</v>
      </c>
      <c r="H90" s="117" t="s">
        <v>35</v>
      </c>
      <c r="I90" s="12" t="s">
        <v>381</v>
      </c>
      <c r="J90" s="49" t="s">
        <v>36</v>
      </c>
      <c r="K90" s="43" t="s">
        <v>382</v>
      </c>
      <c r="M90" s="30" t="str">
        <f t="shared" si="16"/>
        <v>Griph,Shana</v>
      </c>
      <c r="N90" s="32" t="str">
        <f t="shared" si="17"/>
        <v>Shana Griph</v>
      </c>
    </row>
    <row r="91" spans="1:14" hidden="1">
      <c r="A91" s="45" t="str">
        <f t="shared" si="14"/>
        <v>SLEDcheckreq_264087413_Jamieson,Chris</v>
      </c>
      <c r="B91" s="46" t="str">
        <f t="shared" si="15"/>
        <v>SledRecreq_264087413_Jamieson,Chris</v>
      </c>
      <c r="C91" s="39" t="s">
        <v>38</v>
      </c>
      <c r="D91" s="40" t="s">
        <v>37</v>
      </c>
      <c r="F91" s="12">
        <v>264087413</v>
      </c>
      <c r="G91" s="117" t="s">
        <v>35</v>
      </c>
      <c r="H91" s="117" t="s">
        <v>35</v>
      </c>
      <c r="I91" s="12" t="s">
        <v>403</v>
      </c>
      <c r="J91" s="49" t="s">
        <v>36</v>
      </c>
      <c r="K91" s="12" t="s">
        <v>404</v>
      </c>
      <c r="M91" s="30" t="str">
        <f t="shared" si="16"/>
        <v>Jamieson,Chris</v>
      </c>
      <c r="N91" s="32" t="str">
        <f t="shared" si="17"/>
        <v>Chris Jamieson</v>
      </c>
    </row>
    <row r="92" spans="1:14" hidden="1">
      <c r="A92" s="45" t="str">
        <f t="shared" si="14"/>
        <v>SLEDcheckreq_264953341_morris,tyiesha</v>
      </c>
      <c r="B92" s="46" t="str">
        <f t="shared" si="15"/>
        <v>SledRecreq_264953341_morris,tyiesha</v>
      </c>
      <c r="C92" s="39" t="s">
        <v>38</v>
      </c>
      <c r="D92" s="40" t="s">
        <v>37</v>
      </c>
      <c r="F92" s="12">
        <v>264953341</v>
      </c>
      <c r="G92" s="117" t="s">
        <v>35</v>
      </c>
      <c r="H92" s="117" t="s">
        <v>35</v>
      </c>
      <c r="I92" s="12" t="s">
        <v>406</v>
      </c>
      <c r="J92" s="49" t="s">
        <v>36</v>
      </c>
      <c r="K92" s="12" t="s">
        <v>405</v>
      </c>
      <c r="M92" s="30" t="str">
        <f t="shared" si="16"/>
        <v>morris,tyiesha</v>
      </c>
      <c r="N92" s="32" t="str">
        <f t="shared" si="17"/>
        <v>tyiesha morris</v>
      </c>
    </row>
    <row r="93" spans="1:14" hidden="1">
      <c r="A93" s="45" t="str">
        <f t="shared" si="14"/>
        <v>SLEDcheckreq_265813655_Nash,Michael</v>
      </c>
      <c r="B93" s="46" t="str">
        <f t="shared" si="15"/>
        <v>SledRecreq_265813655_Nash,Michael</v>
      </c>
      <c r="C93" s="39" t="s">
        <v>38</v>
      </c>
      <c r="D93" s="40" t="s">
        <v>37</v>
      </c>
      <c r="F93" s="12">
        <v>265813655</v>
      </c>
      <c r="G93" s="117" t="s">
        <v>35</v>
      </c>
      <c r="H93" s="117" t="s">
        <v>35</v>
      </c>
      <c r="I93" s="12" t="s">
        <v>407</v>
      </c>
      <c r="J93" s="49" t="s">
        <v>36</v>
      </c>
      <c r="K93" s="12" t="s">
        <v>335</v>
      </c>
      <c r="M93" s="30" t="str">
        <f t="shared" si="16"/>
        <v>Nash,Michael</v>
      </c>
      <c r="N93" s="32" t="str">
        <f t="shared" si="17"/>
        <v>Michael Nash</v>
      </c>
    </row>
    <row r="94" spans="1:14" hidden="1">
      <c r="A94" s="45" t="str">
        <f t="shared" si="14"/>
        <v>SLEDcheckreq_266053442_Williams,Kayla</v>
      </c>
      <c r="B94" s="46" t="str">
        <f t="shared" si="15"/>
        <v>SledRecreq_266053442_Williams,Kayla</v>
      </c>
      <c r="C94" s="39" t="s">
        <v>38</v>
      </c>
      <c r="D94" s="40" t="s">
        <v>37</v>
      </c>
      <c r="F94" s="12">
        <v>266053442</v>
      </c>
      <c r="G94" s="117" t="s">
        <v>35</v>
      </c>
      <c r="H94" s="117" t="s">
        <v>35</v>
      </c>
      <c r="I94" s="12" t="s">
        <v>263</v>
      </c>
      <c r="J94" s="49" t="s">
        <v>36</v>
      </c>
      <c r="K94" s="12" t="s">
        <v>408</v>
      </c>
      <c r="M94" s="30" t="str">
        <f t="shared" si="16"/>
        <v>Williams,Kayla</v>
      </c>
      <c r="N94" s="32" t="str">
        <f t="shared" si="17"/>
        <v>Kayla Williams</v>
      </c>
    </row>
    <row r="95" spans="1:14" hidden="1">
      <c r="A95" s="45" t="str">
        <f t="shared" si="14"/>
        <v>SLEDcheckreq_267482202_Mitchum,Me'Chele</v>
      </c>
      <c r="B95" s="46" t="str">
        <f t="shared" si="15"/>
        <v>SledRecreq_267482202_Mitchum,Me'Chele</v>
      </c>
      <c r="C95" s="39" t="s">
        <v>38</v>
      </c>
      <c r="D95" s="40" t="s">
        <v>37</v>
      </c>
      <c r="F95" s="12">
        <v>267482202</v>
      </c>
      <c r="G95" s="117" t="s">
        <v>35</v>
      </c>
      <c r="H95" s="117" t="s">
        <v>35</v>
      </c>
      <c r="I95" s="12" t="s">
        <v>449</v>
      </c>
      <c r="J95" s="49" t="s">
        <v>36</v>
      </c>
      <c r="K95" s="12" t="s">
        <v>450</v>
      </c>
      <c r="M95" s="30" t="str">
        <f t="shared" si="16"/>
        <v>Mitchum,Me'Chele</v>
      </c>
      <c r="N95" s="32" t="str">
        <f t="shared" si="17"/>
        <v>Me'Chele Mitchum</v>
      </c>
    </row>
    <row r="96" spans="1:14" hidden="1">
      <c r="A96" s="45" t="str">
        <f t="shared" si="14"/>
        <v>SLEDcheckreq_268555969_Couch,Dakota</v>
      </c>
      <c r="B96" s="46" t="str">
        <f t="shared" si="15"/>
        <v>SledRecreq_268555969_Couch,Dakota</v>
      </c>
      <c r="C96" s="39" t="s">
        <v>38</v>
      </c>
      <c r="D96" s="40" t="s">
        <v>37</v>
      </c>
      <c r="F96" s="12">
        <v>268555969</v>
      </c>
      <c r="G96" s="117" t="s">
        <v>35</v>
      </c>
      <c r="H96" s="117" t="s">
        <v>35</v>
      </c>
      <c r="I96" s="12" t="s">
        <v>475</v>
      </c>
      <c r="J96" s="49" t="s">
        <v>36</v>
      </c>
      <c r="K96" s="12" t="s">
        <v>476</v>
      </c>
      <c r="M96" s="30" t="str">
        <f t="shared" si="16"/>
        <v>Couch,Dakota</v>
      </c>
      <c r="N96" s="32" t="str">
        <f t="shared" si="17"/>
        <v>Dakota Couch</v>
      </c>
    </row>
    <row r="97" spans="1:22" ht="19.5" thickBot="1">
      <c r="A97" s="45" t="str">
        <f t="shared" si="14"/>
        <v>SLEDcheckreq_268576430_Austin,Mika</v>
      </c>
      <c r="B97" s="46" t="str">
        <f t="shared" si="15"/>
        <v>SledRecreq_268576430_Austin,Mika</v>
      </c>
      <c r="C97" s="39" t="s">
        <v>38</v>
      </c>
      <c r="D97" s="40" t="s">
        <v>37</v>
      </c>
      <c r="F97" s="41">
        <v>268576430</v>
      </c>
      <c r="G97" s="117" t="s">
        <v>35</v>
      </c>
      <c r="H97" s="117" t="s">
        <v>35</v>
      </c>
      <c r="I97" s="47" t="s">
        <v>477</v>
      </c>
      <c r="J97" s="49" t="s">
        <v>36</v>
      </c>
      <c r="K97" s="43" t="s">
        <v>478</v>
      </c>
      <c r="M97" s="30" t="str">
        <f t="shared" si="16"/>
        <v>Austin,Mika</v>
      </c>
      <c r="N97" s="32" t="str">
        <f t="shared" si="17"/>
        <v>Mika Austin</v>
      </c>
      <c r="O97" t="s">
        <v>6</v>
      </c>
      <c r="R97" s="490" t="s">
        <v>933</v>
      </c>
      <c r="S97" s="491"/>
      <c r="T97" s="491"/>
      <c r="U97" s="491"/>
      <c r="V97" s="491"/>
    </row>
    <row r="98" spans="1:22" ht="15.75" customHeight="1" thickBot="1">
      <c r="A98" s="45" t="str">
        <f t="shared" si="14"/>
        <v>SLEDcheckreq_268279911_Stanley,William</v>
      </c>
      <c r="B98" s="46" t="str">
        <f t="shared" si="15"/>
        <v>SledRecreq_268279911_Stanley,William</v>
      </c>
      <c r="C98" s="39" t="s">
        <v>38</v>
      </c>
      <c r="D98" s="40" t="s">
        <v>37</v>
      </c>
      <c r="F98" s="41">
        <v>268279911</v>
      </c>
      <c r="G98" s="117" t="s">
        <v>35</v>
      </c>
      <c r="H98" s="117" t="s">
        <v>35</v>
      </c>
      <c r="I98" s="47" t="s">
        <v>481</v>
      </c>
      <c r="J98" s="49" t="s">
        <v>36</v>
      </c>
      <c r="K98" s="43" t="s">
        <v>480</v>
      </c>
      <c r="M98" s="30" t="str">
        <f t="shared" si="16"/>
        <v>Stanley,William</v>
      </c>
      <c r="N98" s="32" t="str">
        <f t="shared" si="17"/>
        <v>William Stanley</v>
      </c>
      <c r="O98" s="11" t="s">
        <v>6</v>
      </c>
      <c r="P98" s="495" t="s">
        <v>938</v>
      </c>
      <c r="R98" s="488" t="s">
        <v>937</v>
      </c>
      <c r="S98" s="489"/>
      <c r="T98" s="489"/>
      <c r="U98" s="489"/>
      <c r="V98" s="489"/>
    </row>
    <row r="99" spans="1:22">
      <c r="A99" s="45" t="str">
        <f t="shared" si="14"/>
        <v>SLEDcheckreq_268297317_Spencer,Tamara</v>
      </c>
      <c r="B99" s="46" t="str">
        <f t="shared" si="15"/>
        <v>SledRecreq_268297317_Spencer,Tamara</v>
      </c>
      <c r="C99" s="39" t="s">
        <v>38</v>
      </c>
      <c r="D99" s="40" t="s">
        <v>37</v>
      </c>
      <c r="F99" s="41">
        <v>268297317</v>
      </c>
      <c r="G99" s="117" t="s">
        <v>35</v>
      </c>
      <c r="H99" s="117" t="s">
        <v>35</v>
      </c>
      <c r="I99" s="47" t="s">
        <v>483</v>
      </c>
      <c r="J99" s="49" t="s">
        <v>36</v>
      </c>
      <c r="K99" s="43" t="s">
        <v>482</v>
      </c>
      <c r="M99" s="30" t="str">
        <f t="shared" si="16"/>
        <v>Spencer,Tamara</v>
      </c>
      <c r="N99" s="32" t="str">
        <f t="shared" si="17"/>
        <v>Tamara Spencer</v>
      </c>
      <c r="O99" s="11" t="s">
        <v>6</v>
      </c>
      <c r="P99" s="463">
        <f ca="1">WORKDAY(TODAY(),23)</f>
        <v>44859</v>
      </c>
      <c r="R99" s="480"/>
      <c r="S99" s="481"/>
      <c r="T99" s="481"/>
      <c r="U99" s="481"/>
      <c r="V99" s="481"/>
    </row>
    <row r="100" spans="1:22">
      <c r="A100" s="45" t="str">
        <f t="shared" si="14"/>
        <v>SLEDcheckreq_268886220_Dixon,LeQuaisha</v>
      </c>
      <c r="B100" s="46" t="str">
        <f t="shared" si="15"/>
        <v>SledRecreq_268886220_Dixon,LeQuaisha</v>
      </c>
      <c r="C100" s="39" t="s">
        <v>38</v>
      </c>
      <c r="D100" s="40" t="s">
        <v>37</v>
      </c>
      <c r="F100" s="41">
        <v>268886220</v>
      </c>
      <c r="G100" s="117" t="s">
        <v>35</v>
      </c>
      <c r="H100" s="117" t="s">
        <v>35</v>
      </c>
      <c r="I100" s="47" t="s">
        <v>494</v>
      </c>
      <c r="J100" s="49" t="s">
        <v>36</v>
      </c>
      <c r="K100" s="43" t="s">
        <v>493</v>
      </c>
      <c r="M100" s="30" t="str">
        <f t="shared" si="16"/>
        <v>Dixon,LeQuaisha</v>
      </c>
      <c r="N100" s="32" t="str">
        <f t="shared" si="17"/>
        <v>LeQuaisha Dixon</v>
      </c>
      <c r="O100" s="11" t="s">
        <v>6</v>
      </c>
      <c r="P100" s="464"/>
      <c r="R100" s="480"/>
      <c r="S100" s="481"/>
      <c r="T100" s="481"/>
      <c r="U100" s="481"/>
      <c r="V100" s="481"/>
    </row>
    <row r="101" spans="1:22" ht="15.75" thickBot="1">
      <c r="A101" s="45" t="str">
        <f t="shared" si="14"/>
        <v>SLEDcheckreq_269109694_Bennett,Sharon</v>
      </c>
      <c r="B101" s="46" t="str">
        <f t="shared" si="15"/>
        <v>SledRecreq_269109694_Bennett,Sharon</v>
      </c>
      <c r="C101" s="39" t="s">
        <v>38</v>
      </c>
      <c r="D101" s="40" t="s">
        <v>37</v>
      </c>
      <c r="F101" s="41">
        <v>269109694</v>
      </c>
      <c r="G101" s="117" t="s">
        <v>35</v>
      </c>
      <c r="H101" s="117" t="s">
        <v>35</v>
      </c>
      <c r="I101" s="47" t="s">
        <v>503</v>
      </c>
      <c r="J101" s="49" t="s">
        <v>36</v>
      </c>
      <c r="K101" s="43" t="s">
        <v>504</v>
      </c>
      <c r="M101" s="30" t="str">
        <f t="shared" si="16"/>
        <v>Bennett,Sharon</v>
      </c>
      <c r="N101" s="32" t="str">
        <f t="shared" si="17"/>
        <v>Sharon Bennett</v>
      </c>
      <c r="O101" s="11" t="s">
        <v>6</v>
      </c>
      <c r="P101" s="465"/>
      <c r="R101" s="480"/>
      <c r="S101" s="481"/>
      <c r="T101" s="481"/>
      <c r="U101" s="481"/>
      <c r="V101" s="481"/>
    </row>
    <row r="102" spans="1:22">
      <c r="A102" s="45" t="str">
        <f t="shared" si="14"/>
        <v>SLEDcheckreq_266984523_Long,Stephone</v>
      </c>
      <c r="B102" s="46" t="str">
        <f t="shared" si="15"/>
        <v>SledRecreq_266984523_Long,Stephone</v>
      </c>
      <c r="C102" s="39" t="s">
        <v>38</v>
      </c>
      <c r="D102" s="40" t="s">
        <v>37</v>
      </c>
      <c r="F102" s="41">
        <v>266984523</v>
      </c>
      <c r="G102" s="117" t="s">
        <v>35</v>
      </c>
      <c r="H102" s="117" t="s">
        <v>35</v>
      </c>
      <c r="I102" s="47" t="s">
        <v>507</v>
      </c>
      <c r="J102" s="49" t="s">
        <v>36</v>
      </c>
      <c r="K102" s="43" t="s">
        <v>508</v>
      </c>
      <c r="M102" s="30" t="str">
        <f t="shared" si="16"/>
        <v>Long,Stephone</v>
      </c>
      <c r="N102" s="32" t="str">
        <f t="shared" si="17"/>
        <v>Stephone Long</v>
      </c>
      <c r="O102" s="11" t="s">
        <v>6</v>
      </c>
      <c r="R102" s="480"/>
      <c r="S102" s="481"/>
      <c r="T102" s="481"/>
      <c r="U102" s="481"/>
      <c r="V102" s="481"/>
    </row>
    <row r="103" spans="1:22">
      <c r="A103" s="45" t="str">
        <f t="shared" si="14"/>
        <v>SLEDcheckreq_269311351_Nicole,Felder</v>
      </c>
      <c r="B103" s="46" t="str">
        <f t="shared" si="15"/>
        <v>SledRecreq_269311351_Nicole,Felder</v>
      </c>
      <c r="C103" s="39" t="s">
        <v>38</v>
      </c>
      <c r="D103" s="40" t="s">
        <v>37</v>
      </c>
      <c r="F103" s="41">
        <v>269311351</v>
      </c>
      <c r="G103" s="117" t="s">
        <v>35</v>
      </c>
      <c r="H103" s="117" t="s">
        <v>35</v>
      </c>
      <c r="I103" s="47" t="s">
        <v>373</v>
      </c>
      <c r="J103" s="49" t="s">
        <v>36</v>
      </c>
      <c r="K103" s="43" t="s">
        <v>372</v>
      </c>
      <c r="M103" s="30" t="str">
        <f t="shared" si="16"/>
        <v>Nicole,Felder</v>
      </c>
      <c r="N103" s="32" t="str">
        <f t="shared" si="17"/>
        <v>Felder Nicole</v>
      </c>
      <c r="O103" s="11" t="s">
        <v>6</v>
      </c>
      <c r="R103" s="480"/>
      <c r="S103" s="481"/>
      <c r="T103" s="481"/>
      <c r="U103" s="481"/>
      <c r="V103" s="481"/>
    </row>
    <row r="104" spans="1:22">
      <c r="A104" s="45" t="str">
        <f>CONCATENATE(D104,G104,F104,G104,I104,J104,K104)</f>
        <v>SLEDcheckreq_270026122_Morgan,Zachary</v>
      </c>
      <c r="B104" s="46" t="str">
        <f>CONCATENATE(C104,H104,F104,H104,I104,J104,K104)</f>
        <v>SledRecreq_270026122_Morgan,Zachary</v>
      </c>
      <c r="C104" s="39" t="s">
        <v>38</v>
      </c>
      <c r="D104" s="40" t="s">
        <v>37</v>
      </c>
      <c r="F104" s="41">
        <v>270026122</v>
      </c>
      <c r="G104" s="117" t="s">
        <v>35</v>
      </c>
      <c r="H104" s="117" t="s">
        <v>35</v>
      </c>
      <c r="I104" s="47" t="s">
        <v>551</v>
      </c>
      <c r="J104" s="49" t="s">
        <v>36</v>
      </c>
      <c r="K104" s="43" t="s">
        <v>550</v>
      </c>
      <c r="M104" s="30" t="str">
        <f>_xlfn.CONCAT(I104:K104)</f>
        <v>Morgan,Zachary</v>
      </c>
      <c r="N104" s="32" t="str">
        <f>CONCATENATE(K104," ",I104)</f>
        <v>Zachary Morgan</v>
      </c>
      <c r="O104" s="11" t="s">
        <v>6</v>
      </c>
      <c r="R104" s="480"/>
      <c r="S104" s="481"/>
      <c r="T104" s="481"/>
      <c r="U104" s="481"/>
      <c r="V104" s="481"/>
    </row>
    <row r="105" spans="1:22">
      <c r="A105" s="45" t="str">
        <f t="shared" si="14"/>
        <v>SLEDcheckreq_270240968_Davis,Mary</v>
      </c>
      <c r="B105" s="46" t="str">
        <f t="shared" si="15"/>
        <v>SledRecreq_270240968_Davis,Mary</v>
      </c>
      <c r="C105" s="39" t="s">
        <v>38</v>
      </c>
      <c r="D105" s="40" t="s">
        <v>37</v>
      </c>
      <c r="F105" s="41">
        <v>270240968</v>
      </c>
      <c r="G105" s="117" t="s">
        <v>35</v>
      </c>
      <c r="H105" s="117" t="s">
        <v>35</v>
      </c>
      <c r="I105" s="47" t="s">
        <v>213</v>
      </c>
      <c r="J105" s="49" t="s">
        <v>36</v>
      </c>
      <c r="K105" s="43" t="s">
        <v>77</v>
      </c>
      <c r="M105" s="30" t="str">
        <f t="shared" si="16"/>
        <v>Davis,Mary</v>
      </c>
      <c r="N105" s="32" t="str">
        <f t="shared" si="17"/>
        <v>Mary Davis</v>
      </c>
      <c r="O105" s="11" t="s">
        <v>6</v>
      </c>
      <c r="R105" s="480"/>
      <c r="S105" s="481"/>
      <c r="T105" s="481"/>
      <c r="U105" s="481"/>
      <c r="V105" s="481"/>
    </row>
    <row r="106" spans="1:22">
      <c r="A106" s="45" t="str">
        <f t="shared" si="14"/>
        <v>SLEDcheckreq_270274934_Bust,Hollie</v>
      </c>
      <c r="B106" s="46" t="str">
        <f t="shared" si="15"/>
        <v>SledRecreq_270274934_Bust,Hollie</v>
      </c>
      <c r="C106" s="39" t="s">
        <v>38</v>
      </c>
      <c r="D106" s="40" t="s">
        <v>37</v>
      </c>
      <c r="F106" s="41">
        <v>270274934</v>
      </c>
      <c r="G106" s="117" t="s">
        <v>35</v>
      </c>
      <c r="H106" s="117" t="s">
        <v>35</v>
      </c>
      <c r="I106" s="47" t="s">
        <v>580</v>
      </c>
      <c r="J106" s="49" t="s">
        <v>36</v>
      </c>
      <c r="K106" s="43" t="s">
        <v>579</v>
      </c>
      <c r="M106" s="30" t="str">
        <f t="shared" si="16"/>
        <v>Bust,Hollie</v>
      </c>
      <c r="N106" s="32" t="str">
        <f t="shared" si="17"/>
        <v>Hollie Bust</v>
      </c>
      <c r="O106" s="11" t="s">
        <v>6</v>
      </c>
    </row>
    <row r="107" spans="1:22">
      <c r="A107" s="45" t="str">
        <f t="shared" si="14"/>
        <v>SLEDcheckreq_271062998_ROBINSON,BRANDY</v>
      </c>
      <c r="B107" s="46" t="str">
        <f t="shared" si="15"/>
        <v>SledRecreq_271062998_ROBINSON,BRANDY</v>
      </c>
      <c r="C107" s="39" t="s">
        <v>38</v>
      </c>
      <c r="D107" s="40" t="s">
        <v>37</v>
      </c>
      <c r="F107" s="41">
        <v>271062998</v>
      </c>
      <c r="G107" s="117" t="s">
        <v>35</v>
      </c>
      <c r="H107" s="117" t="s">
        <v>35</v>
      </c>
      <c r="I107" s="47" t="s">
        <v>586</v>
      </c>
      <c r="J107" s="49" t="s">
        <v>36</v>
      </c>
      <c r="K107" s="43" t="s">
        <v>587</v>
      </c>
      <c r="M107" s="30" t="str">
        <f t="shared" si="16"/>
        <v>ROBINSON,BRANDY</v>
      </c>
      <c r="N107" s="32" t="str">
        <f t="shared" si="17"/>
        <v>BRANDY ROBINSON</v>
      </c>
      <c r="O107" s="11" t="s">
        <v>6</v>
      </c>
    </row>
    <row r="108" spans="1:22">
      <c r="A108" s="45" t="str">
        <f>CONCATENATE(D108,G108,F108,G108,I108,J108,K108)</f>
        <v>SLEDcheckreq_270565695_Brown,Kiree</v>
      </c>
      <c r="B108" s="46" t="str">
        <f>CONCATENATE(C108,H108,F108,H108,I108,J108,K108)</f>
        <v>SledRecreq_270565695_Brown,Kiree</v>
      </c>
      <c r="C108" s="39" t="s">
        <v>38</v>
      </c>
      <c r="D108" s="40" t="s">
        <v>37</v>
      </c>
      <c r="F108" s="41">
        <v>270565695</v>
      </c>
      <c r="G108" s="117" t="s">
        <v>35</v>
      </c>
      <c r="H108" s="117" t="s">
        <v>35</v>
      </c>
      <c r="I108" s="47" t="s">
        <v>307</v>
      </c>
      <c r="J108" s="49" t="s">
        <v>36</v>
      </c>
      <c r="K108" s="43" t="s">
        <v>588</v>
      </c>
      <c r="M108" s="30" t="str">
        <f>_xlfn.CONCAT(I108:K108)</f>
        <v>Brown,Kiree</v>
      </c>
      <c r="N108" s="32" t="str">
        <f>CONCATENATE(K108," ",I108)</f>
        <v>Kiree Brown</v>
      </c>
      <c r="O108" s="11" t="s">
        <v>6</v>
      </c>
    </row>
    <row r="109" spans="1:22">
      <c r="A109" s="45" t="str">
        <f t="shared" si="14"/>
        <v>SLEDcheckreq_270565994_Forsythe,Michael</v>
      </c>
      <c r="B109" s="46" t="str">
        <f t="shared" si="15"/>
        <v>SledRecreq_270565994_Forsythe,Michael</v>
      </c>
      <c r="C109" s="39" t="s">
        <v>38</v>
      </c>
      <c r="D109" s="40" t="s">
        <v>37</v>
      </c>
      <c r="F109" s="41">
        <v>270565994</v>
      </c>
      <c r="G109" s="117" t="s">
        <v>35</v>
      </c>
      <c r="H109" s="117" t="s">
        <v>35</v>
      </c>
      <c r="I109" s="47" t="s">
        <v>589</v>
      </c>
      <c r="J109" s="49" t="s">
        <v>36</v>
      </c>
      <c r="K109" s="43" t="s">
        <v>335</v>
      </c>
      <c r="M109" s="30" t="str">
        <f t="shared" si="16"/>
        <v>Forsythe,Michael</v>
      </c>
      <c r="N109" s="32" t="str">
        <f t="shared" si="17"/>
        <v>Michael Forsythe</v>
      </c>
      <c r="O109" s="11" t="s">
        <v>6</v>
      </c>
    </row>
    <row r="110" spans="1:22">
      <c r="A110" s="45" t="str">
        <f t="shared" si="14"/>
        <v>SLEDcheckreq_270566806_Stack,Amy</v>
      </c>
      <c r="B110" s="46" t="str">
        <f t="shared" si="15"/>
        <v>SledRecreq_270566806_Stack,Amy</v>
      </c>
      <c r="C110" s="39" t="s">
        <v>38</v>
      </c>
      <c r="D110" s="40" t="s">
        <v>37</v>
      </c>
      <c r="F110" s="41">
        <v>270566806</v>
      </c>
      <c r="G110" s="117" t="s">
        <v>35</v>
      </c>
      <c r="H110" s="117" t="s">
        <v>35</v>
      </c>
      <c r="I110" s="47" t="s">
        <v>616</v>
      </c>
      <c r="J110" s="49" t="s">
        <v>36</v>
      </c>
      <c r="K110" s="43" t="s">
        <v>617</v>
      </c>
      <c r="M110" s="30" t="str">
        <f t="shared" si="16"/>
        <v>Stack,Amy</v>
      </c>
      <c r="N110" s="32" t="str">
        <f t="shared" si="17"/>
        <v>Amy Stack</v>
      </c>
      <c r="O110" s="11" t="s">
        <v>6</v>
      </c>
    </row>
    <row r="111" spans="1:22">
      <c r="A111" s="45" t="str">
        <f t="shared" si="14"/>
        <v>SLEDcheckreq_270909848_Thompson,Charlie</v>
      </c>
      <c r="B111" s="46" t="str">
        <f t="shared" si="15"/>
        <v>SledRecreq_270909848_Thompson,Charlie</v>
      </c>
      <c r="C111" s="39" t="s">
        <v>38</v>
      </c>
      <c r="D111" s="40" t="s">
        <v>37</v>
      </c>
      <c r="F111" s="41">
        <v>270909848</v>
      </c>
      <c r="G111" s="117" t="s">
        <v>35</v>
      </c>
      <c r="H111" s="117" t="s">
        <v>35</v>
      </c>
      <c r="I111" s="47" t="s">
        <v>363</v>
      </c>
      <c r="J111" s="49" t="s">
        <v>36</v>
      </c>
      <c r="K111" s="43" t="s">
        <v>631</v>
      </c>
      <c r="M111" s="30" t="str">
        <f t="shared" si="16"/>
        <v>Thompson,Charlie</v>
      </c>
      <c r="N111" s="32" t="str">
        <f t="shared" si="17"/>
        <v>Charlie Thompson</v>
      </c>
      <c r="O111" s="11" t="s">
        <v>6</v>
      </c>
    </row>
    <row r="112" spans="1:22">
      <c r="A112" s="45" t="str">
        <f t="shared" si="14"/>
        <v>SLEDcheckreq_271232742_Rouse,Ashley</v>
      </c>
      <c r="B112" s="46" t="str">
        <f t="shared" si="15"/>
        <v>SledRecreq_271232742_Rouse,Ashley</v>
      </c>
      <c r="C112" s="39" t="s">
        <v>38</v>
      </c>
      <c r="D112" s="40" t="s">
        <v>37</v>
      </c>
      <c r="F112" s="41">
        <v>271232742</v>
      </c>
      <c r="G112" s="117" t="s">
        <v>35</v>
      </c>
      <c r="H112" s="117" t="s">
        <v>35</v>
      </c>
      <c r="I112" s="47" t="s">
        <v>639</v>
      </c>
      <c r="J112" s="49" t="s">
        <v>36</v>
      </c>
      <c r="K112" s="43" t="s">
        <v>640</v>
      </c>
      <c r="M112" s="30" t="str">
        <f t="shared" si="16"/>
        <v>Rouse,Ashley</v>
      </c>
      <c r="N112" s="32" t="str">
        <f t="shared" si="17"/>
        <v>Ashley Rouse</v>
      </c>
      <c r="O112" s="11" t="s">
        <v>6</v>
      </c>
    </row>
    <row r="113" spans="1:15">
      <c r="A113" s="45" t="str">
        <f t="shared" ref="A113:A176" si="18">CONCATENATE(D113,G113,F113,G113,I113,J113,K113)</f>
        <v>SLEDcheckreq_271488196_CAIN,CHEVY</v>
      </c>
      <c r="B113" s="46" t="str">
        <f t="shared" ref="B113:B176" si="19">CONCATENATE(C113,H113,F113,H113,I113,J113,K113)</f>
        <v>SledRecreq_271488196_CAIN,CHEVY</v>
      </c>
      <c r="C113" s="39" t="s">
        <v>38</v>
      </c>
      <c r="D113" s="40" t="s">
        <v>37</v>
      </c>
      <c r="F113" s="41">
        <v>271488196</v>
      </c>
      <c r="G113" s="117" t="s">
        <v>35</v>
      </c>
      <c r="H113" s="117" t="s">
        <v>35</v>
      </c>
      <c r="I113" s="47" t="s">
        <v>642</v>
      </c>
      <c r="J113" s="49" t="s">
        <v>36</v>
      </c>
      <c r="K113" s="43" t="s">
        <v>643</v>
      </c>
      <c r="M113" s="30" t="str">
        <f t="shared" ref="M113:M176" si="20">_xlfn.CONCAT(I113:K113)</f>
        <v>CAIN,CHEVY</v>
      </c>
      <c r="N113" s="32" t="str">
        <f t="shared" ref="N113:N176" si="21">CONCATENATE(K113," ",I113)</f>
        <v>CHEVY CAIN</v>
      </c>
      <c r="O113" s="11" t="s">
        <v>6</v>
      </c>
    </row>
    <row r="114" spans="1:15">
      <c r="A114" s="45" t="str">
        <f t="shared" si="18"/>
        <v>SLEDcheckreq_271572111_Hallingquest,Tony</v>
      </c>
      <c r="B114" s="46" t="str">
        <f t="shared" si="19"/>
        <v>SledRecreq_271572111_Hallingquest,Tony</v>
      </c>
      <c r="C114" s="39" t="s">
        <v>38</v>
      </c>
      <c r="D114" s="40" t="s">
        <v>37</v>
      </c>
      <c r="F114" s="41">
        <v>271572111</v>
      </c>
      <c r="G114" s="117" t="s">
        <v>35</v>
      </c>
      <c r="H114" s="117" t="s">
        <v>35</v>
      </c>
      <c r="I114" s="47" t="s">
        <v>644</v>
      </c>
      <c r="J114" s="49" t="s">
        <v>36</v>
      </c>
      <c r="K114" s="43" t="s">
        <v>645</v>
      </c>
      <c r="M114" s="30" t="str">
        <f t="shared" si="20"/>
        <v>Hallingquest,Tony</v>
      </c>
      <c r="N114" s="32" t="str">
        <f t="shared" si="21"/>
        <v>Tony Hallingquest</v>
      </c>
      <c r="O114" s="11" t="s">
        <v>6</v>
      </c>
    </row>
    <row r="115" spans="1:15">
      <c r="A115" s="45" t="str">
        <f t="shared" si="18"/>
        <v>SLEDcheckreq_273095019_Burnett,Lori</v>
      </c>
      <c r="B115" s="46" t="str">
        <f t="shared" si="19"/>
        <v>SledRecreq_273095019_Burnett,Lori</v>
      </c>
      <c r="C115" s="39" t="s">
        <v>38</v>
      </c>
      <c r="D115" s="40" t="s">
        <v>37</v>
      </c>
      <c r="F115" s="41">
        <v>273095019</v>
      </c>
      <c r="G115" s="117" t="s">
        <v>35</v>
      </c>
      <c r="H115" s="117" t="s">
        <v>35</v>
      </c>
      <c r="I115" s="47" t="s">
        <v>303</v>
      </c>
      <c r="J115" s="49" t="s">
        <v>36</v>
      </c>
      <c r="K115" s="43" t="s">
        <v>665</v>
      </c>
      <c r="M115" s="30" t="str">
        <f t="shared" si="20"/>
        <v>Burnett,Lori</v>
      </c>
      <c r="N115" s="32" t="str">
        <f t="shared" si="21"/>
        <v>Lori Burnett</v>
      </c>
      <c r="O115" s="11" t="s">
        <v>6</v>
      </c>
    </row>
    <row r="116" spans="1:15">
      <c r="A116" s="45" t="str">
        <f t="shared" si="18"/>
        <v>SLEDcheckreq_273110109_Al-muid,Ismail</v>
      </c>
      <c r="B116" s="46" t="str">
        <f t="shared" si="19"/>
        <v>SledRecreq_273110109_Al-muid,Ismail</v>
      </c>
      <c r="C116" s="39" t="s">
        <v>38</v>
      </c>
      <c r="D116" s="40" t="s">
        <v>37</v>
      </c>
      <c r="F116" s="41">
        <v>273110109</v>
      </c>
      <c r="G116" s="117" t="s">
        <v>35</v>
      </c>
      <c r="H116" s="117" t="s">
        <v>35</v>
      </c>
      <c r="I116" s="47" t="s">
        <v>692</v>
      </c>
      <c r="J116" s="49" t="s">
        <v>36</v>
      </c>
      <c r="K116" s="43" t="s">
        <v>693</v>
      </c>
      <c r="M116" s="30" t="str">
        <f t="shared" si="20"/>
        <v>Al-muid,Ismail</v>
      </c>
      <c r="N116" s="32" t="str">
        <f t="shared" si="21"/>
        <v>Ismail Al-muid</v>
      </c>
      <c r="O116" s="11" t="s">
        <v>6</v>
      </c>
    </row>
    <row r="117" spans="1:15">
      <c r="A117" s="45" t="str">
        <f t="shared" si="18"/>
        <v>SLEDcheckreq_273910203_Pressley,LaTraz</v>
      </c>
      <c r="B117" s="46" t="str">
        <f t="shared" si="19"/>
        <v>SledRecreq_273910203_Pressley,LaTraz</v>
      </c>
      <c r="C117" s="39" t="s">
        <v>38</v>
      </c>
      <c r="D117" s="40" t="s">
        <v>37</v>
      </c>
      <c r="F117" s="41">
        <v>273910203</v>
      </c>
      <c r="G117" s="117" t="s">
        <v>35</v>
      </c>
      <c r="H117" s="117" t="s">
        <v>35</v>
      </c>
      <c r="I117" s="47" t="s">
        <v>696</v>
      </c>
      <c r="J117" s="49" t="s">
        <v>36</v>
      </c>
      <c r="K117" s="43" t="s">
        <v>697</v>
      </c>
      <c r="M117" s="30" t="str">
        <f t="shared" si="20"/>
        <v>Pressley,LaTraz</v>
      </c>
      <c r="N117" s="32" t="str">
        <f t="shared" si="21"/>
        <v>LaTraz Pressley</v>
      </c>
      <c r="O117" s="11" t="s">
        <v>6</v>
      </c>
    </row>
    <row r="118" spans="1:15">
      <c r="A118" s="45" t="str">
        <f t="shared" si="18"/>
        <v>SLEDcheckreq_274090478_Wolfe,John</v>
      </c>
      <c r="B118" s="46" t="str">
        <f t="shared" si="19"/>
        <v>SledRecreq_274090478_Wolfe,John</v>
      </c>
      <c r="C118" s="39" t="s">
        <v>38</v>
      </c>
      <c r="D118" s="40" t="s">
        <v>37</v>
      </c>
      <c r="F118" s="41">
        <v>274090478</v>
      </c>
      <c r="G118" s="117" t="s">
        <v>35</v>
      </c>
      <c r="H118" s="117" t="s">
        <v>35</v>
      </c>
      <c r="I118" s="47" t="s">
        <v>705</v>
      </c>
      <c r="J118" s="49" t="s">
        <v>36</v>
      </c>
      <c r="K118" s="43" t="s">
        <v>706</v>
      </c>
      <c r="M118" s="30" t="str">
        <f t="shared" si="20"/>
        <v>Wolfe,John</v>
      </c>
      <c r="N118" s="32" t="str">
        <f t="shared" si="21"/>
        <v>John Wolfe</v>
      </c>
      <c r="O118" s="11" t="s">
        <v>6</v>
      </c>
    </row>
    <row r="119" spans="1:15">
      <c r="A119" s="45" t="str">
        <f t="shared" si="18"/>
        <v>SLEDcheckreq_272644729_Dixon,LeQuaisha</v>
      </c>
      <c r="B119" s="46" t="str">
        <f t="shared" si="19"/>
        <v>SledRecreq_272644729_Dixon,LeQuaisha</v>
      </c>
      <c r="C119" s="39" t="s">
        <v>38</v>
      </c>
      <c r="D119" s="40" t="s">
        <v>37</v>
      </c>
      <c r="F119" s="41">
        <v>272644729</v>
      </c>
      <c r="G119" s="117" t="s">
        <v>35</v>
      </c>
      <c r="H119" s="117" t="s">
        <v>35</v>
      </c>
      <c r="I119" s="47" t="s">
        <v>494</v>
      </c>
      <c r="J119" s="49" t="s">
        <v>36</v>
      </c>
      <c r="K119" s="43" t="s">
        <v>493</v>
      </c>
      <c r="M119" s="30" t="str">
        <f t="shared" si="20"/>
        <v>Dixon,LeQuaisha</v>
      </c>
      <c r="N119" s="32" t="str">
        <f t="shared" si="21"/>
        <v>LeQuaisha Dixon</v>
      </c>
      <c r="O119" s="11" t="s">
        <v>6</v>
      </c>
    </row>
    <row r="120" spans="1:15">
      <c r="A120" s="45" t="str">
        <f t="shared" si="18"/>
        <v>SLEDcheckreq_273559594_Jackson,Quinton</v>
      </c>
      <c r="B120" s="46" t="str">
        <f t="shared" si="19"/>
        <v>SledRecreq_273559594_Jackson,Quinton</v>
      </c>
      <c r="C120" s="39" t="s">
        <v>38</v>
      </c>
      <c r="D120" s="40" t="s">
        <v>37</v>
      </c>
      <c r="F120" s="41">
        <v>273559594</v>
      </c>
      <c r="G120" s="117" t="s">
        <v>35</v>
      </c>
      <c r="H120" s="117" t="s">
        <v>35</v>
      </c>
      <c r="I120" s="47" t="s">
        <v>710</v>
      </c>
      <c r="J120" s="49" t="s">
        <v>36</v>
      </c>
      <c r="K120" s="43" t="s">
        <v>711</v>
      </c>
      <c r="M120" s="30" t="str">
        <f t="shared" si="20"/>
        <v>Jackson,Quinton</v>
      </c>
      <c r="N120" s="32" t="str">
        <f t="shared" si="21"/>
        <v>Quinton Jackson</v>
      </c>
      <c r="O120" s="11" t="s">
        <v>6</v>
      </c>
    </row>
    <row r="121" spans="1:15">
      <c r="A121" s="45" t="str">
        <f t="shared" si="18"/>
        <v>SLEDcheckreq__,</v>
      </c>
      <c r="B121" s="46" t="str">
        <f t="shared" si="19"/>
        <v>SledRecreq__,</v>
      </c>
      <c r="C121" s="39" t="s">
        <v>38</v>
      </c>
      <c r="D121" s="40" t="s">
        <v>37</v>
      </c>
      <c r="F121" s="41"/>
      <c r="G121" s="117" t="s">
        <v>35</v>
      </c>
      <c r="H121" s="117" t="s">
        <v>35</v>
      </c>
      <c r="I121" s="47"/>
      <c r="J121" s="49" t="s">
        <v>36</v>
      </c>
      <c r="K121" s="43"/>
      <c r="M121" s="30" t="str">
        <f t="shared" si="20"/>
        <v>,</v>
      </c>
      <c r="N121" s="32" t="str">
        <f t="shared" si="21"/>
        <v xml:space="preserve"> </v>
      </c>
      <c r="O121" s="11" t="s">
        <v>6</v>
      </c>
    </row>
    <row r="122" spans="1:15">
      <c r="A122" s="45" t="str">
        <f t="shared" si="18"/>
        <v>SLEDcheckreq__,</v>
      </c>
      <c r="B122" s="46" t="str">
        <f t="shared" si="19"/>
        <v>SledRecreq__,</v>
      </c>
      <c r="C122" s="39" t="s">
        <v>38</v>
      </c>
      <c r="D122" s="40" t="s">
        <v>37</v>
      </c>
      <c r="F122" s="41"/>
      <c r="G122" s="117" t="s">
        <v>35</v>
      </c>
      <c r="H122" s="117" t="s">
        <v>35</v>
      </c>
      <c r="I122" s="47"/>
      <c r="J122" s="49" t="s">
        <v>36</v>
      </c>
      <c r="K122" s="43"/>
      <c r="M122" s="30" t="str">
        <f t="shared" si="20"/>
        <v>,</v>
      </c>
      <c r="N122" s="32" t="str">
        <f t="shared" si="21"/>
        <v xml:space="preserve"> </v>
      </c>
      <c r="O122" s="11" t="s">
        <v>6</v>
      </c>
    </row>
    <row r="123" spans="1:15">
      <c r="A123" s="45" t="str">
        <f t="shared" si="18"/>
        <v>SLEDcheckreq__,</v>
      </c>
      <c r="B123" s="46" t="str">
        <f t="shared" si="19"/>
        <v>SledRecreq__,</v>
      </c>
      <c r="C123" s="39" t="s">
        <v>38</v>
      </c>
      <c r="D123" s="40" t="s">
        <v>37</v>
      </c>
      <c r="F123" s="41"/>
      <c r="G123" s="117" t="s">
        <v>35</v>
      </c>
      <c r="H123" s="117" t="s">
        <v>35</v>
      </c>
      <c r="I123" s="47"/>
      <c r="J123" s="49" t="s">
        <v>36</v>
      </c>
      <c r="K123" s="43"/>
      <c r="M123" s="30" t="str">
        <f t="shared" si="20"/>
        <v>,</v>
      </c>
      <c r="N123" s="32" t="str">
        <f t="shared" si="21"/>
        <v xml:space="preserve"> </v>
      </c>
    </row>
    <row r="124" spans="1:15">
      <c r="A124" s="45" t="str">
        <f t="shared" si="18"/>
        <v>SLEDcheckreq__,</v>
      </c>
      <c r="B124" s="46" t="str">
        <f t="shared" si="19"/>
        <v>SledRecreq__,</v>
      </c>
      <c r="C124" s="39" t="s">
        <v>38</v>
      </c>
      <c r="D124" s="40" t="s">
        <v>37</v>
      </c>
      <c r="F124" s="41"/>
      <c r="G124" s="117" t="s">
        <v>35</v>
      </c>
      <c r="H124" s="117" t="s">
        <v>35</v>
      </c>
      <c r="I124" s="47"/>
      <c r="J124" s="49" t="s">
        <v>36</v>
      </c>
      <c r="K124" s="43"/>
      <c r="M124" s="30" t="str">
        <f t="shared" si="20"/>
        <v>,</v>
      </c>
      <c r="N124" s="32" t="str">
        <f t="shared" si="21"/>
        <v xml:space="preserve"> </v>
      </c>
    </row>
    <row r="125" spans="1:15">
      <c r="A125" s="45" t="str">
        <f t="shared" si="18"/>
        <v>SLEDcheckreq__,</v>
      </c>
      <c r="B125" s="46" t="str">
        <f t="shared" si="19"/>
        <v>SledRecreq__,</v>
      </c>
      <c r="C125" s="39" t="s">
        <v>38</v>
      </c>
      <c r="D125" s="40" t="s">
        <v>37</v>
      </c>
      <c r="F125" s="41"/>
      <c r="G125" s="117" t="s">
        <v>35</v>
      </c>
      <c r="H125" s="117" t="s">
        <v>35</v>
      </c>
      <c r="I125" s="47"/>
      <c r="J125" s="49" t="s">
        <v>36</v>
      </c>
      <c r="K125" s="43"/>
      <c r="M125" s="30" t="str">
        <f t="shared" si="20"/>
        <v>,</v>
      </c>
      <c r="N125" s="32" t="str">
        <f t="shared" si="21"/>
        <v xml:space="preserve"> </v>
      </c>
    </row>
    <row r="126" spans="1:15">
      <c r="A126" s="45" t="str">
        <f t="shared" si="18"/>
        <v>SLEDcheckreq__,</v>
      </c>
      <c r="B126" s="46" t="str">
        <f t="shared" si="19"/>
        <v>SledRecreq__,</v>
      </c>
      <c r="C126" s="39" t="s">
        <v>38</v>
      </c>
      <c r="D126" s="40" t="s">
        <v>37</v>
      </c>
      <c r="F126" s="41"/>
      <c r="G126" s="117" t="s">
        <v>35</v>
      </c>
      <c r="H126" s="117" t="s">
        <v>35</v>
      </c>
      <c r="I126" s="47"/>
      <c r="J126" s="49" t="s">
        <v>36</v>
      </c>
      <c r="K126" s="43"/>
      <c r="M126" s="30" t="str">
        <f t="shared" si="20"/>
        <v>,</v>
      </c>
      <c r="N126" s="32" t="str">
        <f t="shared" si="21"/>
        <v xml:space="preserve"> </v>
      </c>
    </row>
    <row r="127" spans="1:15">
      <c r="A127" s="45" t="str">
        <f t="shared" si="18"/>
        <v>SLEDcheckreq__,</v>
      </c>
      <c r="B127" s="46" t="str">
        <f t="shared" si="19"/>
        <v>SledRecreq__,</v>
      </c>
      <c r="C127" s="39" t="s">
        <v>38</v>
      </c>
      <c r="D127" s="40" t="s">
        <v>37</v>
      </c>
      <c r="F127" s="41"/>
      <c r="G127" s="117" t="s">
        <v>35</v>
      </c>
      <c r="H127" s="117" t="s">
        <v>35</v>
      </c>
      <c r="I127" s="47"/>
      <c r="J127" s="49" t="s">
        <v>36</v>
      </c>
      <c r="K127" s="43"/>
      <c r="M127" s="30" t="str">
        <f t="shared" si="20"/>
        <v>,</v>
      </c>
      <c r="N127" s="32" t="str">
        <f t="shared" si="21"/>
        <v xml:space="preserve"> </v>
      </c>
    </row>
    <row r="128" spans="1:15">
      <c r="A128" s="45" t="str">
        <f t="shared" si="18"/>
        <v>SLEDcheckreq__,</v>
      </c>
      <c r="B128" s="46" t="str">
        <f t="shared" si="19"/>
        <v>SledRecreq__,</v>
      </c>
      <c r="C128" s="39" t="s">
        <v>38</v>
      </c>
      <c r="D128" s="40" t="s">
        <v>37</v>
      </c>
      <c r="F128" s="41"/>
      <c r="G128" s="117" t="s">
        <v>35</v>
      </c>
      <c r="H128" s="117" t="s">
        <v>35</v>
      </c>
      <c r="I128" s="47"/>
      <c r="J128" s="49" t="s">
        <v>36</v>
      </c>
      <c r="K128" s="43"/>
      <c r="M128" s="30" t="str">
        <f t="shared" si="20"/>
        <v>,</v>
      </c>
      <c r="N128" s="32" t="str">
        <f t="shared" si="21"/>
        <v xml:space="preserve"> </v>
      </c>
    </row>
    <row r="129" spans="1:14">
      <c r="A129" s="45" t="str">
        <f t="shared" si="18"/>
        <v>SLEDcheckreq__,</v>
      </c>
      <c r="B129" s="46" t="str">
        <f t="shared" si="19"/>
        <v>SledRecreq__,</v>
      </c>
      <c r="C129" s="39" t="s">
        <v>38</v>
      </c>
      <c r="D129" s="40" t="s">
        <v>37</v>
      </c>
      <c r="F129" s="41"/>
      <c r="G129" s="117" t="s">
        <v>35</v>
      </c>
      <c r="H129" s="117" t="s">
        <v>35</v>
      </c>
      <c r="I129" s="47"/>
      <c r="J129" s="49" t="s">
        <v>36</v>
      </c>
      <c r="K129" s="43"/>
      <c r="M129" s="30" t="str">
        <f t="shared" si="20"/>
        <v>,</v>
      </c>
      <c r="N129" s="32" t="str">
        <f t="shared" si="21"/>
        <v xml:space="preserve"> </v>
      </c>
    </row>
    <row r="130" spans="1:14">
      <c r="A130" s="45" t="str">
        <f t="shared" si="18"/>
        <v>SLEDcheckreq__,</v>
      </c>
      <c r="B130" s="46" t="str">
        <f t="shared" si="19"/>
        <v>SledRecreq__,</v>
      </c>
      <c r="C130" s="39" t="s">
        <v>38</v>
      </c>
      <c r="D130" s="40" t="s">
        <v>37</v>
      </c>
      <c r="F130" s="41"/>
      <c r="G130" s="117" t="s">
        <v>35</v>
      </c>
      <c r="H130" s="117" t="s">
        <v>35</v>
      </c>
      <c r="I130" s="47"/>
      <c r="J130" s="49" t="s">
        <v>36</v>
      </c>
      <c r="K130" s="43"/>
      <c r="M130" s="30" t="str">
        <f t="shared" si="20"/>
        <v>,</v>
      </c>
      <c r="N130" s="32" t="str">
        <f t="shared" si="21"/>
        <v xml:space="preserve"> </v>
      </c>
    </row>
    <row r="131" spans="1:14">
      <c r="A131" s="45" t="str">
        <f t="shared" si="18"/>
        <v>SLEDcheckreq__,</v>
      </c>
      <c r="B131" s="46" t="str">
        <f t="shared" si="19"/>
        <v>SledRecreq__,</v>
      </c>
      <c r="C131" s="39" t="s">
        <v>38</v>
      </c>
      <c r="D131" s="40" t="s">
        <v>37</v>
      </c>
      <c r="F131" s="41"/>
      <c r="G131" s="117" t="s">
        <v>35</v>
      </c>
      <c r="H131" s="117" t="s">
        <v>35</v>
      </c>
      <c r="I131" s="47"/>
      <c r="J131" s="49" t="s">
        <v>36</v>
      </c>
      <c r="K131" s="43"/>
      <c r="M131" s="30" t="str">
        <f t="shared" si="20"/>
        <v>,</v>
      </c>
      <c r="N131" s="32" t="str">
        <f t="shared" si="21"/>
        <v xml:space="preserve"> </v>
      </c>
    </row>
    <row r="132" spans="1:14">
      <c r="A132" s="45" t="str">
        <f t="shared" si="18"/>
        <v>SLEDcheckreq__,</v>
      </c>
      <c r="B132" s="46" t="str">
        <f t="shared" si="19"/>
        <v>SledRecreq__,</v>
      </c>
      <c r="C132" s="39" t="s">
        <v>38</v>
      </c>
      <c r="D132" s="40" t="s">
        <v>37</v>
      </c>
      <c r="F132" s="41"/>
      <c r="G132" s="117" t="s">
        <v>35</v>
      </c>
      <c r="H132" s="117" t="s">
        <v>35</v>
      </c>
      <c r="I132" s="47"/>
      <c r="J132" s="49" t="s">
        <v>36</v>
      </c>
      <c r="K132" s="43"/>
      <c r="M132" s="30" t="str">
        <f t="shared" si="20"/>
        <v>,</v>
      </c>
      <c r="N132" s="32" t="str">
        <f t="shared" si="21"/>
        <v xml:space="preserve"> </v>
      </c>
    </row>
    <row r="133" spans="1:14">
      <c r="A133" s="45" t="str">
        <f t="shared" si="18"/>
        <v>SLEDcheckreq__,</v>
      </c>
      <c r="B133" s="46" t="str">
        <f t="shared" si="19"/>
        <v>SledRecreq__,</v>
      </c>
      <c r="C133" s="39" t="s">
        <v>38</v>
      </c>
      <c r="D133" s="40" t="s">
        <v>37</v>
      </c>
      <c r="F133" s="41"/>
      <c r="G133" s="117" t="s">
        <v>35</v>
      </c>
      <c r="H133" s="117" t="s">
        <v>35</v>
      </c>
      <c r="I133" s="47"/>
      <c r="J133" s="49" t="s">
        <v>36</v>
      </c>
      <c r="K133" s="43"/>
      <c r="M133" s="30" t="str">
        <f t="shared" si="20"/>
        <v>,</v>
      </c>
      <c r="N133" s="32" t="str">
        <f t="shared" si="21"/>
        <v xml:space="preserve"> </v>
      </c>
    </row>
    <row r="134" spans="1:14">
      <c r="A134" s="45" t="str">
        <f t="shared" si="18"/>
        <v>SLEDcheckreq__,</v>
      </c>
      <c r="B134" s="46" t="str">
        <f t="shared" si="19"/>
        <v>SledRecreq__,</v>
      </c>
      <c r="C134" s="39" t="s">
        <v>38</v>
      </c>
      <c r="D134" s="40" t="s">
        <v>37</v>
      </c>
      <c r="F134" s="41"/>
      <c r="G134" s="117" t="s">
        <v>35</v>
      </c>
      <c r="H134" s="117" t="s">
        <v>35</v>
      </c>
      <c r="I134" s="47"/>
      <c r="J134" s="49" t="s">
        <v>36</v>
      </c>
      <c r="K134" s="43"/>
      <c r="M134" s="30" t="str">
        <f t="shared" si="20"/>
        <v>,</v>
      </c>
      <c r="N134" s="32" t="str">
        <f t="shared" si="21"/>
        <v xml:space="preserve"> </v>
      </c>
    </row>
    <row r="135" spans="1:14">
      <c r="A135" s="45" t="str">
        <f t="shared" si="18"/>
        <v>SLEDcheckreq__,</v>
      </c>
      <c r="B135" s="46" t="str">
        <f t="shared" si="19"/>
        <v>SledRecreq__,</v>
      </c>
      <c r="C135" s="39" t="s">
        <v>38</v>
      </c>
      <c r="D135" s="40" t="s">
        <v>37</v>
      </c>
      <c r="F135" s="41"/>
      <c r="G135" s="117" t="s">
        <v>35</v>
      </c>
      <c r="H135" s="117" t="s">
        <v>35</v>
      </c>
      <c r="I135" s="47"/>
      <c r="J135" s="49" t="s">
        <v>36</v>
      </c>
      <c r="K135" s="43"/>
      <c r="M135" s="30" t="str">
        <f t="shared" si="20"/>
        <v>,</v>
      </c>
      <c r="N135" s="32" t="str">
        <f t="shared" si="21"/>
        <v xml:space="preserve"> </v>
      </c>
    </row>
    <row r="136" spans="1:14">
      <c r="A136" s="45" t="str">
        <f t="shared" si="18"/>
        <v>SLEDcheckreq__,</v>
      </c>
      <c r="B136" s="46" t="str">
        <f t="shared" si="19"/>
        <v>SledRecreq__,</v>
      </c>
      <c r="C136" s="39" t="s">
        <v>38</v>
      </c>
      <c r="D136" s="40" t="s">
        <v>37</v>
      </c>
      <c r="F136" s="41"/>
      <c r="G136" s="117" t="s">
        <v>35</v>
      </c>
      <c r="H136" s="117" t="s">
        <v>35</v>
      </c>
      <c r="I136" s="47"/>
      <c r="J136" s="49" t="s">
        <v>36</v>
      </c>
      <c r="K136" s="43"/>
      <c r="M136" s="30" t="str">
        <f t="shared" si="20"/>
        <v>,</v>
      </c>
      <c r="N136" s="32" t="str">
        <f t="shared" si="21"/>
        <v xml:space="preserve"> </v>
      </c>
    </row>
    <row r="137" spans="1:14">
      <c r="A137" s="45" t="str">
        <f t="shared" si="18"/>
        <v>SLEDcheckreq__,</v>
      </c>
      <c r="B137" s="46" t="str">
        <f t="shared" si="19"/>
        <v>SledRecreq__,</v>
      </c>
      <c r="C137" s="39" t="s">
        <v>38</v>
      </c>
      <c r="D137" s="40" t="s">
        <v>37</v>
      </c>
      <c r="F137" s="41"/>
      <c r="G137" s="117" t="s">
        <v>35</v>
      </c>
      <c r="H137" s="117" t="s">
        <v>35</v>
      </c>
      <c r="I137" s="47"/>
      <c r="J137" s="49" t="s">
        <v>36</v>
      </c>
      <c r="K137" s="43"/>
      <c r="M137" s="30" t="str">
        <f t="shared" si="20"/>
        <v>,</v>
      </c>
      <c r="N137" s="32" t="str">
        <f t="shared" si="21"/>
        <v xml:space="preserve"> </v>
      </c>
    </row>
    <row r="138" spans="1:14">
      <c r="A138" s="45" t="str">
        <f t="shared" si="18"/>
        <v>SLEDcheckreq__,</v>
      </c>
      <c r="B138" s="46" t="str">
        <f t="shared" si="19"/>
        <v>SledRecreq__,</v>
      </c>
      <c r="C138" s="39" t="s">
        <v>38</v>
      </c>
      <c r="D138" s="40" t="s">
        <v>37</v>
      </c>
      <c r="F138" s="41"/>
      <c r="G138" s="117" t="s">
        <v>35</v>
      </c>
      <c r="H138" s="117" t="s">
        <v>35</v>
      </c>
      <c r="I138" s="47"/>
      <c r="J138" s="49" t="s">
        <v>36</v>
      </c>
      <c r="K138" s="43"/>
      <c r="M138" s="30" t="str">
        <f t="shared" si="20"/>
        <v>,</v>
      </c>
      <c r="N138" s="32" t="str">
        <f t="shared" si="21"/>
        <v xml:space="preserve"> </v>
      </c>
    </row>
    <row r="139" spans="1:14">
      <c r="A139" s="45" t="str">
        <f t="shared" si="18"/>
        <v>SLEDcheckreq__,</v>
      </c>
      <c r="B139" s="46" t="str">
        <f t="shared" si="19"/>
        <v>SledRecreq__,</v>
      </c>
      <c r="C139" s="39" t="s">
        <v>38</v>
      </c>
      <c r="D139" s="40" t="s">
        <v>37</v>
      </c>
      <c r="F139" s="41"/>
      <c r="G139" s="117" t="s">
        <v>35</v>
      </c>
      <c r="H139" s="117" t="s">
        <v>35</v>
      </c>
      <c r="I139" s="47"/>
      <c r="J139" s="49" t="s">
        <v>36</v>
      </c>
      <c r="K139" s="43"/>
      <c r="M139" s="30" t="str">
        <f t="shared" si="20"/>
        <v>,</v>
      </c>
      <c r="N139" s="32" t="str">
        <f t="shared" si="21"/>
        <v xml:space="preserve"> </v>
      </c>
    </row>
    <row r="140" spans="1:14">
      <c r="A140" s="45" t="str">
        <f t="shared" si="18"/>
        <v>SLEDcheckreq__,</v>
      </c>
      <c r="B140" s="46" t="str">
        <f t="shared" si="19"/>
        <v>SledRecreq__,</v>
      </c>
      <c r="C140" s="39" t="s">
        <v>38</v>
      </c>
      <c r="D140" s="40" t="s">
        <v>37</v>
      </c>
      <c r="F140" s="41"/>
      <c r="G140" s="117" t="s">
        <v>35</v>
      </c>
      <c r="H140" s="117" t="s">
        <v>35</v>
      </c>
      <c r="I140" s="47"/>
      <c r="J140" s="49" t="s">
        <v>36</v>
      </c>
      <c r="K140" s="43"/>
      <c r="M140" s="30" t="str">
        <f t="shared" si="20"/>
        <v>,</v>
      </c>
      <c r="N140" s="32" t="str">
        <f t="shared" si="21"/>
        <v xml:space="preserve"> </v>
      </c>
    </row>
    <row r="141" spans="1:14">
      <c r="A141" s="45" t="str">
        <f t="shared" si="18"/>
        <v>SLEDcheckreq__,</v>
      </c>
      <c r="B141" s="46" t="str">
        <f t="shared" si="19"/>
        <v>SledRecreq__,</v>
      </c>
      <c r="C141" s="39" t="s">
        <v>38</v>
      </c>
      <c r="D141" s="40" t="s">
        <v>37</v>
      </c>
      <c r="F141" s="41"/>
      <c r="G141" s="117" t="s">
        <v>35</v>
      </c>
      <c r="H141" s="117" t="s">
        <v>35</v>
      </c>
      <c r="I141" s="47"/>
      <c r="J141" s="49" t="s">
        <v>36</v>
      </c>
      <c r="K141" s="43"/>
      <c r="M141" s="30" t="str">
        <f t="shared" si="20"/>
        <v>,</v>
      </c>
      <c r="N141" s="32" t="str">
        <f t="shared" si="21"/>
        <v xml:space="preserve"> </v>
      </c>
    </row>
    <row r="142" spans="1:14">
      <c r="A142" s="45" t="str">
        <f t="shared" si="18"/>
        <v>SLEDcheckreq__,</v>
      </c>
      <c r="B142" s="46" t="str">
        <f t="shared" si="19"/>
        <v>SledRecreq__,</v>
      </c>
      <c r="C142" s="39" t="s">
        <v>38</v>
      </c>
      <c r="D142" s="40" t="s">
        <v>37</v>
      </c>
      <c r="F142" s="41"/>
      <c r="G142" s="117" t="s">
        <v>35</v>
      </c>
      <c r="H142" s="117" t="s">
        <v>35</v>
      </c>
      <c r="I142" s="47"/>
      <c r="J142" s="49" t="s">
        <v>36</v>
      </c>
      <c r="K142" s="43"/>
      <c r="M142" s="30" t="str">
        <f t="shared" si="20"/>
        <v>,</v>
      </c>
      <c r="N142" s="32" t="str">
        <f t="shared" si="21"/>
        <v xml:space="preserve"> </v>
      </c>
    </row>
    <row r="143" spans="1:14">
      <c r="A143" s="45" t="str">
        <f t="shared" si="18"/>
        <v>SLEDcheckreq__,</v>
      </c>
      <c r="B143" s="46" t="str">
        <f t="shared" si="19"/>
        <v>SledRecreq__,</v>
      </c>
      <c r="C143" s="39" t="s">
        <v>38</v>
      </c>
      <c r="D143" s="40" t="s">
        <v>37</v>
      </c>
      <c r="F143" s="41"/>
      <c r="G143" s="117" t="s">
        <v>35</v>
      </c>
      <c r="H143" s="117" t="s">
        <v>35</v>
      </c>
      <c r="I143" s="47"/>
      <c r="J143" s="49" t="s">
        <v>36</v>
      </c>
      <c r="K143" s="43"/>
      <c r="M143" s="30" t="str">
        <f t="shared" si="20"/>
        <v>,</v>
      </c>
      <c r="N143" s="32" t="str">
        <f t="shared" si="21"/>
        <v xml:space="preserve"> </v>
      </c>
    </row>
    <row r="144" spans="1:14">
      <c r="A144" s="45" t="str">
        <f t="shared" si="18"/>
        <v>SLEDcheckreq__,</v>
      </c>
      <c r="B144" s="46" t="str">
        <f t="shared" si="19"/>
        <v>SledRecreq__,</v>
      </c>
      <c r="C144" s="39" t="s">
        <v>38</v>
      </c>
      <c r="D144" s="40" t="s">
        <v>37</v>
      </c>
      <c r="F144" s="41"/>
      <c r="G144" s="117" t="s">
        <v>35</v>
      </c>
      <c r="H144" s="117" t="s">
        <v>35</v>
      </c>
      <c r="I144" s="47"/>
      <c r="J144" s="49" t="s">
        <v>36</v>
      </c>
      <c r="K144" s="43"/>
      <c r="M144" s="30" t="str">
        <f t="shared" si="20"/>
        <v>,</v>
      </c>
      <c r="N144" s="32" t="str">
        <f t="shared" si="21"/>
        <v xml:space="preserve"> </v>
      </c>
    </row>
    <row r="145" spans="1:14">
      <c r="A145" s="45" t="str">
        <f t="shared" si="18"/>
        <v>SLEDcheckreq__,</v>
      </c>
      <c r="B145" s="46" t="str">
        <f t="shared" si="19"/>
        <v>SledRecreq__,</v>
      </c>
      <c r="C145" s="39" t="s">
        <v>38</v>
      </c>
      <c r="D145" s="40" t="s">
        <v>37</v>
      </c>
      <c r="F145" s="41"/>
      <c r="G145" s="117" t="s">
        <v>35</v>
      </c>
      <c r="H145" s="117" t="s">
        <v>35</v>
      </c>
      <c r="I145" s="47"/>
      <c r="J145" s="49" t="s">
        <v>36</v>
      </c>
      <c r="K145" s="43"/>
      <c r="M145" s="30" t="str">
        <f t="shared" si="20"/>
        <v>,</v>
      </c>
      <c r="N145" s="32" t="str">
        <f t="shared" si="21"/>
        <v xml:space="preserve"> </v>
      </c>
    </row>
    <row r="146" spans="1:14">
      <c r="A146" s="45" t="str">
        <f t="shared" si="18"/>
        <v>SLEDcheckreq__,</v>
      </c>
      <c r="B146" s="46" t="str">
        <f t="shared" si="19"/>
        <v>SledRecreq__,</v>
      </c>
      <c r="C146" s="39" t="s">
        <v>38</v>
      </c>
      <c r="D146" s="40" t="s">
        <v>37</v>
      </c>
      <c r="F146" s="41"/>
      <c r="G146" s="117" t="s">
        <v>35</v>
      </c>
      <c r="H146" s="117" t="s">
        <v>35</v>
      </c>
      <c r="I146" s="47"/>
      <c r="J146" s="49" t="s">
        <v>36</v>
      </c>
      <c r="K146" s="43"/>
      <c r="M146" s="30" t="str">
        <f t="shared" si="20"/>
        <v>,</v>
      </c>
      <c r="N146" s="32" t="str">
        <f t="shared" si="21"/>
        <v xml:space="preserve"> </v>
      </c>
    </row>
    <row r="147" spans="1:14">
      <c r="A147" s="45" t="str">
        <f t="shared" si="18"/>
        <v>SLEDcheckreq__,</v>
      </c>
      <c r="B147" s="46" t="str">
        <f t="shared" si="19"/>
        <v>SledRecreq__,</v>
      </c>
      <c r="C147" s="39" t="s">
        <v>38</v>
      </c>
      <c r="D147" s="40" t="s">
        <v>37</v>
      </c>
      <c r="F147" s="41"/>
      <c r="G147" s="117" t="s">
        <v>35</v>
      </c>
      <c r="H147" s="117" t="s">
        <v>35</v>
      </c>
      <c r="I147" s="47"/>
      <c r="J147" s="49" t="s">
        <v>36</v>
      </c>
      <c r="K147" s="43"/>
      <c r="M147" s="30" t="str">
        <f t="shared" si="20"/>
        <v>,</v>
      </c>
      <c r="N147" s="32" t="str">
        <f t="shared" si="21"/>
        <v xml:space="preserve"> </v>
      </c>
    </row>
    <row r="148" spans="1:14">
      <c r="A148" s="45" t="str">
        <f t="shared" si="18"/>
        <v>SLEDcheckreq__,</v>
      </c>
      <c r="B148" s="46" t="str">
        <f t="shared" si="19"/>
        <v>SledRecreq__,</v>
      </c>
      <c r="C148" s="39" t="s">
        <v>38</v>
      </c>
      <c r="D148" s="40" t="s">
        <v>37</v>
      </c>
      <c r="F148" s="41"/>
      <c r="G148" s="117" t="s">
        <v>35</v>
      </c>
      <c r="H148" s="117" t="s">
        <v>35</v>
      </c>
      <c r="I148" s="47"/>
      <c r="J148" s="49" t="s">
        <v>36</v>
      </c>
      <c r="K148" s="43"/>
      <c r="M148" s="30" t="str">
        <f t="shared" si="20"/>
        <v>,</v>
      </c>
      <c r="N148" s="32" t="str">
        <f t="shared" si="21"/>
        <v xml:space="preserve"> </v>
      </c>
    </row>
    <row r="149" spans="1:14">
      <c r="A149" s="45" t="str">
        <f t="shared" si="18"/>
        <v>SLEDcheckreq__,</v>
      </c>
      <c r="B149" s="46" t="str">
        <f t="shared" si="19"/>
        <v>SledRecreq__,</v>
      </c>
      <c r="C149" s="39" t="s">
        <v>38</v>
      </c>
      <c r="D149" s="40" t="s">
        <v>37</v>
      </c>
      <c r="F149" s="41"/>
      <c r="G149" s="117" t="s">
        <v>35</v>
      </c>
      <c r="H149" s="117" t="s">
        <v>35</v>
      </c>
      <c r="I149" s="47"/>
      <c r="J149" s="49" t="s">
        <v>36</v>
      </c>
      <c r="K149" s="43"/>
      <c r="M149" s="30" t="str">
        <f t="shared" si="20"/>
        <v>,</v>
      </c>
      <c r="N149" s="32" t="str">
        <f t="shared" si="21"/>
        <v xml:space="preserve"> </v>
      </c>
    </row>
    <row r="150" spans="1:14">
      <c r="A150" s="45" t="str">
        <f t="shared" si="18"/>
        <v>SLEDcheckreq__,</v>
      </c>
      <c r="B150" s="46" t="str">
        <f t="shared" si="19"/>
        <v>SledRecreq__,</v>
      </c>
      <c r="C150" s="39" t="s">
        <v>38</v>
      </c>
      <c r="D150" s="40" t="s">
        <v>37</v>
      </c>
      <c r="F150" s="41"/>
      <c r="G150" s="117" t="s">
        <v>35</v>
      </c>
      <c r="H150" s="117" t="s">
        <v>35</v>
      </c>
      <c r="I150" s="47"/>
      <c r="J150" s="49" t="s">
        <v>36</v>
      </c>
      <c r="K150" s="43"/>
      <c r="M150" s="30" t="str">
        <f t="shared" si="20"/>
        <v>,</v>
      </c>
      <c r="N150" s="32" t="str">
        <f t="shared" si="21"/>
        <v xml:space="preserve"> </v>
      </c>
    </row>
    <row r="151" spans="1:14">
      <c r="A151" s="45" t="str">
        <f t="shared" si="18"/>
        <v>SLEDcheckreq__,</v>
      </c>
      <c r="B151" s="46" t="str">
        <f t="shared" si="19"/>
        <v>SledRecreq__,</v>
      </c>
      <c r="C151" s="39" t="s">
        <v>38</v>
      </c>
      <c r="D151" s="40" t="s">
        <v>37</v>
      </c>
      <c r="F151" s="41"/>
      <c r="G151" s="117" t="s">
        <v>35</v>
      </c>
      <c r="H151" s="117" t="s">
        <v>35</v>
      </c>
      <c r="I151" s="47"/>
      <c r="J151" s="49" t="s">
        <v>36</v>
      </c>
      <c r="K151" s="43"/>
      <c r="M151" s="30" t="str">
        <f t="shared" si="20"/>
        <v>,</v>
      </c>
      <c r="N151" s="32" t="str">
        <f t="shared" si="21"/>
        <v xml:space="preserve"> </v>
      </c>
    </row>
    <row r="152" spans="1:14">
      <c r="A152" s="45" t="str">
        <f t="shared" si="18"/>
        <v>SLEDcheckreq__,</v>
      </c>
      <c r="B152" s="46" t="str">
        <f t="shared" si="19"/>
        <v>SledRecreq__,</v>
      </c>
      <c r="C152" s="39" t="s">
        <v>38</v>
      </c>
      <c r="D152" s="40" t="s">
        <v>37</v>
      </c>
      <c r="F152" s="41"/>
      <c r="G152" s="117" t="s">
        <v>35</v>
      </c>
      <c r="H152" s="117" t="s">
        <v>35</v>
      </c>
      <c r="I152" s="47"/>
      <c r="J152" s="49" t="s">
        <v>36</v>
      </c>
      <c r="K152" s="43"/>
      <c r="M152" s="30" t="str">
        <f t="shared" si="20"/>
        <v>,</v>
      </c>
      <c r="N152" s="32" t="str">
        <f t="shared" si="21"/>
        <v xml:space="preserve"> </v>
      </c>
    </row>
    <row r="153" spans="1:14">
      <c r="A153" s="45" t="str">
        <f t="shared" si="18"/>
        <v>SLEDcheckreq__,</v>
      </c>
      <c r="B153" s="46" t="str">
        <f t="shared" si="19"/>
        <v>SledRecreq__,</v>
      </c>
      <c r="C153" s="39" t="s">
        <v>38</v>
      </c>
      <c r="D153" s="40" t="s">
        <v>37</v>
      </c>
      <c r="F153" s="41"/>
      <c r="G153" s="117" t="s">
        <v>35</v>
      </c>
      <c r="H153" s="117" t="s">
        <v>35</v>
      </c>
      <c r="I153" s="47"/>
      <c r="J153" s="49" t="s">
        <v>36</v>
      </c>
      <c r="K153" s="43"/>
      <c r="M153" s="30" t="str">
        <f t="shared" si="20"/>
        <v>,</v>
      </c>
      <c r="N153" s="32" t="str">
        <f t="shared" si="21"/>
        <v xml:space="preserve"> </v>
      </c>
    </row>
    <row r="154" spans="1:14">
      <c r="A154" s="45" t="str">
        <f t="shared" si="18"/>
        <v>SLEDcheckreq__,</v>
      </c>
      <c r="B154" s="46" t="str">
        <f t="shared" si="19"/>
        <v>SledRecreq__,</v>
      </c>
      <c r="C154" s="39" t="s">
        <v>38</v>
      </c>
      <c r="D154" s="40" t="s">
        <v>37</v>
      </c>
      <c r="F154" s="41"/>
      <c r="G154" s="117" t="s">
        <v>35</v>
      </c>
      <c r="H154" s="117" t="s">
        <v>35</v>
      </c>
      <c r="I154" s="47"/>
      <c r="J154" s="49" t="s">
        <v>36</v>
      </c>
      <c r="K154" s="43"/>
      <c r="M154" s="30" t="str">
        <f t="shared" si="20"/>
        <v>,</v>
      </c>
      <c r="N154" s="32" t="str">
        <f t="shared" si="21"/>
        <v xml:space="preserve"> </v>
      </c>
    </row>
    <row r="155" spans="1:14">
      <c r="A155" s="45" t="str">
        <f t="shared" si="18"/>
        <v>SLEDcheckreq__,</v>
      </c>
      <c r="B155" s="46" t="str">
        <f t="shared" si="19"/>
        <v>SledRecreq__,</v>
      </c>
      <c r="C155" s="39" t="s">
        <v>38</v>
      </c>
      <c r="D155" s="40" t="s">
        <v>37</v>
      </c>
      <c r="F155" s="41"/>
      <c r="G155" s="117" t="s">
        <v>35</v>
      </c>
      <c r="H155" s="117" t="s">
        <v>35</v>
      </c>
      <c r="I155" s="47"/>
      <c r="J155" s="49" t="s">
        <v>36</v>
      </c>
      <c r="K155" s="43"/>
      <c r="M155" s="30" t="str">
        <f t="shared" si="20"/>
        <v>,</v>
      </c>
      <c r="N155" s="32" t="str">
        <f t="shared" si="21"/>
        <v xml:space="preserve"> </v>
      </c>
    </row>
    <row r="156" spans="1:14">
      <c r="A156" s="45" t="str">
        <f t="shared" si="18"/>
        <v>SLEDcheckreq__,</v>
      </c>
      <c r="B156" s="46" t="str">
        <f t="shared" si="19"/>
        <v>SledRecreq__,</v>
      </c>
      <c r="C156" s="39" t="s">
        <v>38</v>
      </c>
      <c r="D156" s="40" t="s">
        <v>37</v>
      </c>
      <c r="F156" s="41"/>
      <c r="G156" s="117" t="s">
        <v>35</v>
      </c>
      <c r="H156" s="117" t="s">
        <v>35</v>
      </c>
      <c r="I156" s="47"/>
      <c r="J156" s="49" t="s">
        <v>36</v>
      </c>
      <c r="K156" s="43"/>
      <c r="M156" s="30" t="str">
        <f t="shared" si="20"/>
        <v>,</v>
      </c>
      <c r="N156" s="32" t="str">
        <f t="shared" si="21"/>
        <v xml:space="preserve"> </v>
      </c>
    </row>
    <row r="157" spans="1:14">
      <c r="A157" s="45" t="str">
        <f t="shared" si="18"/>
        <v>SLEDcheckreq__,</v>
      </c>
      <c r="B157" s="46" t="str">
        <f t="shared" si="19"/>
        <v>SledRecreq__,</v>
      </c>
      <c r="C157" s="39" t="s">
        <v>38</v>
      </c>
      <c r="D157" s="40" t="s">
        <v>37</v>
      </c>
      <c r="F157" s="41"/>
      <c r="G157" s="117" t="s">
        <v>35</v>
      </c>
      <c r="H157" s="117" t="s">
        <v>35</v>
      </c>
      <c r="I157" s="47"/>
      <c r="J157" s="49" t="s">
        <v>36</v>
      </c>
      <c r="K157" s="43"/>
      <c r="M157" s="30" t="str">
        <f t="shared" si="20"/>
        <v>,</v>
      </c>
      <c r="N157" s="32" t="str">
        <f t="shared" si="21"/>
        <v xml:space="preserve"> </v>
      </c>
    </row>
    <row r="158" spans="1:14">
      <c r="A158" s="45" t="str">
        <f t="shared" si="18"/>
        <v>SLEDcheckreq__,</v>
      </c>
      <c r="B158" s="46" t="str">
        <f t="shared" si="19"/>
        <v>SledRecreq__,</v>
      </c>
      <c r="C158" s="39" t="s">
        <v>38</v>
      </c>
      <c r="D158" s="40" t="s">
        <v>37</v>
      </c>
      <c r="F158" s="41"/>
      <c r="G158" s="117" t="s">
        <v>35</v>
      </c>
      <c r="H158" s="117" t="s">
        <v>35</v>
      </c>
      <c r="I158" s="47"/>
      <c r="J158" s="49" t="s">
        <v>36</v>
      </c>
      <c r="K158" s="43"/>
      <c r="M158" s="30" t="str">
        <f t="shared" si="20"/>
        <v>,</v>
      </c>
      <c r="N158" s="32" t="str">
        <f t="shared" si="21"/>
        <v xml:space="preserve"> </v>
      </c>
    </row>
    <row r="159" spans="1:14">
      <c r="A159" s="45" t="str">
        <f t="shared" si="18"/>
        <v>SLEDcheckreq__,</v>
      </c>
      <c r="B159" s="46" t="str">
        <f t="shared" si="19"/>
        <v>SledRecreq__,</v>
      </c>
      <c r="C159" s="39" t="s">
        <v>38</v>
      </c>
      <c r="D159" s="40" t="s">
        <v>37</v>
      </c>
      <c r="F159" s="41"/>
      <c r="G159" s="117" t="s">
        <v>35</v>
      </c>
      <c r="H159" s="117" t="s">
        <v>35</v>
      </c>
      <c r="I159" s="47"/>
      <c r="J159" s="49" t="s">
        <v>36</v>
      </c>
      <c r="K159" s="43"/>
      <c r="M159" s="30" t="str">
        <f t="shared" si="20"/>
        <v>,</v>
      </c>
      <c r="N159" s="32" t="str">
        <f t="shared" si="21"/>
        <v xml:space="preserve"> </v>
      </c>
    </row>
    <row r="160" spans="1:14">
      <c r="A160" s="45" t="str">
        <f t="shared" si="18"/>
        <v>SLEDcheckreq__,</v>
      </c>
      <c r="B160" s="46" t="str">
        <f t="shared" si="19"/>
        <v>SledRecreq__,</v>
      </c>
      <c r="C160" s="39" t="s">
        <v>38</v>
      </c>
      <c r="D160" s="40" t="s">
        <v>37</v>
      </c>
      <c r="F160" s="41"/>
      <c r="G160" s="117" t="s">
        <v>35</v>
      </c>
      <c r="H160" s="117" t="s">
        <v>35</v>
      </c>
      <c r="I160" s="47"/>
      <c r="J160" s="49" t="s">
        <v>36</v>
      </c>
      <c r="K160" s="43"/>
      <c r="M160" s="30" t="str">
        <f t="shared" si="20"/>
        <v>,</v>
      </c>
      <c r="N160" s="32" t="str">
        <f t="shared" si="21"/>
        <v xml:space="preserve"> </v>
      </c>
    </row>
    <row r="161" spans="1:14">
      <c r="A161" s="45" t="str">
        <f t="shared" si="18"/>
        <v>SLEDcheckreq__,</v>
      </c>
      <c r="B161" s="46" t="str">
        <f t="shared" si="19"/>
        <v>SledRecreq__,</v>
      </c>
      <c r="C161" s="39" t="s">
        <v>38</v>
      </c>
      <c r="D161" s="40" t="s">
        <v>37</v>
      </c>
      <c r="F161" s="41"/>
      <c r="G161" s="117" t="s">
        <v>35</v>
      </c>
      <c r="H161" s="117" t="s">
        <v>35</v>
      </c>
      <c r="I161" s="47"/>
      <c r="J161" s="49" t="s">
        <v>36</v>
      </c>
      <c r="K161" s="43"/>
      <c r="M161" s="30" t="str">
        <f t="shared" si="20"/>
        <v>,</v>
      </c>
      <c r="N161" s="32" t="str">
        <f t="shared" si="21"/>
        <v xml:space="preserve"> </v>
      </c>
    </row>
    <row r="162" spans="1:14">
      <c r="A162" s="45" t="str">
        <f t="shared" si="18"/>
        <v>SLEDcheckreq__,</v>
      </c>
      <c r="B162" s="46" t="str">
        <f t="shared" si="19"/>
        <v>SledRecreq__,</v>
      </c>
      <c r="C162" s="39" t="s">
        <v>38</v>
      </c>
      <c r="D162" s="40" t="s">
        <v>37</v>
      </c>
      <c r="F162" s="41"/>
      <c r="G162" s="117" t="s">
        <v>35</v>
      </c>
      <c r="H162" s="117" t="s">
        <v>35</v>
      </c>
      <c r="I162" s="47"/>
      <c r="J162" s="49" t="s">
        <v>36</v>
      </c>
      <c r="K162" s="43"/>
      <c r="M162" s="30" t="str">
        <f t="shared" si="20"/>
        <v>,</v>
      </c>
      <c r="N162" s="32" t="str">
        <f t="shared" si="21"/>
        <v xml:space="preserve"> </v>
      </c>
    </row>
    <row r="163" spans="1:14">
      <c r="A163" s="45" t="str">
        <f t="shared" si="18"/>
        <v>SLEDcheckreq__,</v>
      </c>
      <c r="B163" s="46" t="str">
        <f t="shared" si="19"/>
        <v>SledRecreq__,</v>
      </c>
      <c r="C163" s="39" t="s">
        <v>38</v>
      </c>
      <c r="D163" s="40" t="s">
        <v>37</v>
      </c>
      <c r="F163" s="41"/>
      <c r="G163" s="117" t="s">
        <v>35</v>
      </c>
      <c r="H163" s="117" t="s">
        <v>35</v>
      </c>
      <c r="I163" s="47"/>
      <c r="J163" s="49" t="s">
        <v>36</v>
      </c>
      <c r="K163" s="43"/>
      <c r="M163" s="30" t="str">
        <f t="shared" si="20"/>
        <v>,</v>
      </c>
      <c r="N163" s="32" t="str">
        <f t="shared" si="21"/>
        <v xml:space="preserve"> </v>
      </c>
    </row>
    <row r="164" spans="1:14">
      <c r="A164" s="45" t="str">
        <f t="shared" si="18"/>
        <v>SLEDcheckreq__,</v>
      </c>
      <c r="B164" s="46" t="str">
        <f t="shared" si="19"/>
        <v>SledRecreq__,</v>
      </c>
      <c r="C164" s="39" t="s">
        <v>38</v>
      </c>
      <c r="D164" s="40" t="s">
        <v>37</v>
      </c>
      <c r="F164" s="41"/>
      <c r="G164" s="117" t="s">
        <v>35</v>
      </c>
      <c r="H164" s="117" t="s">
        <v>35</v>
      </c>
      <c r="I164" s="47"/>
      <c r="J164" s="49" t="s">
        <v>36</v>
      </c>
      <c r="K164" s="43"/>
      <c r="M164" s="30" t="str">
        <f t="shared" si="20"/>
        <v>,</v>
      </c>
      <c r="N164" s="32" t="str">
        <f t="shared" si="21"/>
        <v xml:space="preserve"> </v>
      </c>
    </row>
    <row r="165" spans="1:14">
      <c r="A165" s="45" t="str">
        <f t="shared" si="18"/>
        <v>SLEDcheckreq__,</v>
      </c>
      <c r="B165" s="46" t="str">
        <f t="shared" si="19"/>
        <v>SledRecreq__,</v>
      </c>
      <c r="C165" s="39" t="s">
        <v>38</v>
      </c>
      <c r="D165" s="40" t="s">
        <v>37</v>
      </c>
      <c r="F165" s="41"/>
      <c r="G165" s="117" t="s">
        <v>35</v>
      </c>
      <c r="H165" s="117" t="s">
        <v>35</v>
      </c>
      <c r="I165" s="47"/>
      <c r="J165" s="49" t="s">
        <v>36</v>
      </c>
      <c r="K165" s="43"/>
      <c r="M165" s="30" t="str">
        <f t="shared" si="20"/>
        <v>,</v>
      </c>
      <c r="N165" s="32" t="str">
        <f t="shared" si="21"/>
        <v xml:space="preserve"> </v>
      </c>
    </row>
    <row r="166" spans="1:14">
      <c r="A166" s="45" t="str">
        <f t="shared" si="18"/>
        <v>SLEDcheckreq__,</v>
      </c>
      <c r="B166" s="46" t="str">
        <f t="shared" si="19"/>
        <v>SledRecreq__,</v>
      </c>
      <c r="C166" s="39" t="s">
        <v>38</v>
      </c>
      <c r="D166" s="40" t="s">
        <v>37</v>
      </c>
      <c r="F166" s="41"/>
      <c r="G166" s="117" t="s">
        <v>35</v>
      </c>
      <c r="H166" s="117" t="s">
        <v>35</v>
      </c>
      <c r="I166" s="47"/>
      <c r="J166" s="49" t="s">
        <v>36</v>
      </c>
      <c r="K166" s="43"/>
      <c r="M166" s="30" t="str">
        <f t="shared" si="20"/>
        <v>,</v>
      </c>
      <c r="N166" s="32" t="str">
        <f t="shared" si="21"/>
        <v xml:space="preserve"> </v>
      </c>
    </row>
    <row r="167" spans="1:14">
      <c r="A167" s="45" t="str">
        <f t="shared" si="18"/>
        <v>SLEDcheckreq__,</v>
      </c>
      <c r="B167" s="46" t="str">
        <f t="shared" si="19"/>
        <v>SledRecreq__,</v>
      </c>
      <c r="C167" s="39" t="s">
        <v>38</v>
      </c>
      <c r="D167" s="40" t="s">
        <v>37</v>
      </c>
      <c r="F167" s="41"/>
      <c r="G167" s="117" t="s">
        <v>35</v>
      </c>
      <c r="H167" s="117" t="s">
        <v>35</v>
      </c>
      <c r="I167" s="47"/>
      <c r="J167" s="49" t="s">
        <v>36</v>
      </c>
      <c r="K167" s="43"/>
      <c r="M167" s="30" t="str">
        <f t="shared" si="20"/>
        <v>,</v>
      </c>
      <c r="N167" s="32" t="str">
        <f t="shared" si="21"/>
        <v xml:space="preserve"> </v>
      </c>
    </row>
    <row r="168" spans="1:14">
      <c r="A168" s="45" t="str">
        <f t="shared" si="18"/>
        <v>SLEDcheckreq__,</v>
      </c>
      <c r="B168" s="46" t="str">
        <f t="shared" si="19"/>
        <v>SledRecreq__,</v>
      </c>
      <c r="C168" s="39" t="s">
        <v>38</v>
      </c>
      <c r="D168" s="40" t="s">
        <v>37</v>
      </c>
      <c r="F168" s="41"/>
      <c r="G168" s="117" t="s">
        <v>35</v>
      </c>
      <c r="H168" s="117" t="s">
        <v>35</v>
      </c>
      <c r="I168" s="47"/>
      <c r="J168" s="49" t="s">
        <v>36</v>
      </c>
      <c r="K168" s="43"/>
      <c r="M168" s="30" t="str">
        <f t="shared" si="20"/>
        <v>,</v>
      </c>
      <c r="N168" s="32" t="str">
        <f t="shared" si="21"/>
        <v xml:space="preserve"> </v>
      </c>
    </row>
    <row r="169" spans="1:14">
      <c r="A169" s="45" t="str">
        <f t="shared" si="18"/>
        <v>SLEDcheckreq__,</v>
      </c>
      <c r="B169" s="46" t="str">
        <f t="shared" si="19"/>
        <v>SledRecreq__,</v>
      </c>
      <c r="C169" s="39" t="s">
        <v>38</v>
      </c>
      <c r="D169" s="40" t="s">
        <v>37</v>
      </c>
      <c r="F169" s="41"/>
      <c r="G169" s="117" t="s">
        <v>35</v>
      </c>
      <c r="H169" s="117" t="s">
        <v>35</v>
      </c>
      <c r="I169" s="47"/>
      <c r="J169" s="49" t="s">
        <v>36</v>
      </c>
      <c r="K169" s="43"/>
      <c r="M169" s="30" t="str">
        <f t="shared" si="20"/>
        <v>,</v>
      </c>
      <c r="N169" s="32" t="str">
        <f t="shared" si="21"/>
        <v xml:space="preserve"> </v>
      </c>
    </row>
    <row r="170" spans="1:14">
      <c r="A170" s="45" t="str">
        <f t="shared" si="18"/>
        <v>SLEDcheckreq__,</v>
      </c>
      <c r="B170" s="46" t="str">
        <f t="shared" si="19"/>
        <v>SledRecreq__,</v>
      </c>
      <c r="C170" s="39" t="s">
        <v>38</v>
      </c>
      <c r="D170" s="40" t="s">
        <v>37</v>
      </c>
      <c r="F170" s="41"/>
      <c r="G170" s="117" t="s">
        <v>35</v>
      </c>
      <c r="H170" s="117" t="s">
        <v>35</v>
      </c>
      <c r="I170" s="47"/>
      <c r="J170" s="49" t="s">
        <v>36</v>
      </c>
      <c r="K170" s="43"/>
      <c r="M170" s="30" t="str">
        <f t="shared" si="20"/>
        <v>,</v>
      </c>
      <c r="N170" s="32" t="str">
        <f t="shared" si="21"/>
        <v xml:space="preserve"> </v>
      </c>
    </row>
    <row r="171" spans="1:14">
      <c r="A171" s="45" t="str">
        <f t="shared" si="18"/>
        <v>SLEDcheckreq__,</v>
      </c>
      <c r="B171" s="46" t="str">
        <f t="shared" si="19"/>
        <v>SledRecreq__,</v>
      </c>
      <c r="C171" s="39" t="s">
        <v>38</v>
      </c>
      <c r="D171" s="40" t="s">
        <v>37</v>
      </c>
      <c r="F171" s="41"/>
      <c r="G171" s="117" t="s">
        <v>35</v>
      </c>
      <c r="H171" s="117" t="s">
        <v>35</v>
      </c>
      <c r="I171" s="47"/>
      <c r="J171" s="49" t="s">
        <v>36</v>
      </c>
      <c r="K171" s="43"/>
      <c r="M171" s="30" t="str">
        <f t="shared" si="20"/>
        <v>,</v>
      </c>
      <c r="N171" s="32" t="str">
        <f t="shared" si="21"/>
        <v xml:space="preserve"> </v>
      </c>
    </row>
    <row r="172" spans="1:14">
      <c r="A172" s="45" t="str">
        <f t="shared" si="18"/>
        <v>SLEDcheckreq__,</v>
      </c>
      <c r="B172" s="46" t="str">
        <f t="shared" si="19"/>
        <v>SledRecreq__,</v>
      </c>
      <c r="C172" s="39" t="s">
        <v>38</v>
      </c>
      <c r="D172" s="40" t="s">
        <v>37</v>
      </c>
      <c r="F172" s="41"/>
      <c r="G172" s="117" t="s">
        <v>35</v>
      </c>
      <c r="H172" s="117" t="s">
        <v>35</v>
      </c>
      <c r="I172" s="47"/>
      <c r="J172" s="49" t="s">
        <v>36</v>
      </c>
      <c r="K172" s="43"/>
      <c r="M172" s="30" t="str">
        <f t="shared" si="20"/>
        <v>,</v>
      </c>
      <c r="N172" s="32" t="str">
        <f t="shared" si="21"/>
        <v xml:space="preserve"> </v>
      </c>
    </row>
    <row r="173" spans="1:14">
      <c r="A173" s="45" t="str">
        <f t="shared" si="18"/>
        <v>SLEDcheckreq__,</v>
      </c>
      <c r="B173" s="46" t="str">
        <f t="shared" si="19"/>
        <v>SledRecreq__,</v>
      </c>
      <c r="C173" s="39" t="s">
        <v>38</v>
      </c>
      <c r="D173" s="40" t="s">
        <v>37</v>
      </c>
      <c r="F173" s="41"/>
      <c r="G173" s="117" t="s">
        <v>35</v>
      </c>
      <c r="H173" s="117" t="s">
        <v>35</v>
      </c>
      <c r="I173" s="47"/>
      <c r="J173" s="49" t="s">
        <v>36</v>
      </c>
      <c r="K173" s="43"/>
      <c r="M173" s="30" t="str">
        <f t="shared" si="20"/>
        <v>,</v>
      </c>
      <c r="N173" s="32" t="str">
        <f t="shared" si="21"/>
        <v xml:space="preserve"> </v>
      </c>
    </row>
    <row r="174" spans="1:14">
      <c r="A174" s="45" t="str">
        <f t="shared" si="18"/>
        <v>SLEDcheckreq__,</v>
      </c>
      <c r="B174" s="46" t="str">
        <f t="shared" si="19"/>
        <v>SledRecreq__,</v>
      </c>
      <c r="C174" s="39" t="s">
        <v>38</v>
      </c>
      <c r="D174" s="40" t="s">
        <v>37</v>
      </c>
      <c r="F174" s="41"/>
      <c r="G174" s="117" t="s">
        <v>35</v>
      </c>
      <c r="H174" s="117" t="s">
        <v>35</v>
      </c>
      <c r="I174" s="47"/>
      <c r="J174" s="49" t="s">
        <v>36</v>
      </c>
      <c r="K174" s="43"/>
      <c r="M174" s="30" t="str">
        <f t="shared" si="20"/>
        <v>,</v>
      </c>
      <c r="N174" s="32" t="str">
        <f t="shared" si="21"/>
        <v xml:space="preserve"> </v>
      </c>
    </row>
    <row r="175" spans="1:14">
      <c r="A175" s="45" t="str">
        <f t="shared" si="18"/>
        <v>SLEDcheckreq__,</v>
      </c>
      <c r="B175" s="46" t="str">
        <f t="shared" si="19"/>
        <v>SledRecreq__,</v>
      </c>
      <c r="C175" s="39" t="s">
        <v>38</v>
      </c>
      <c r="D175" s="40" t="s">
        <v>37</v>
      </c>
      <c r="F175" s="41"/>
      <c r="G175" s="117" t="s">
        <v>35</v>
      </c>
      <c r="H175" s="117" t="s">
        <v>35</v>
      </c>
      <c r="I175" s="47"/>
      <c r="J175" s="49" t="s">
        <v>36</v>
      </c>
      <c r="K175" s="43"/>
      <c r="M175" s="30" t="str">
        <f t="shared" si="20"/>
        <v>,</v>
      </c>
      <c r="N175" s="32" t="str">
        <f t="shared" si="21"/>
        <v xml:space="preserve"> </v>
      </c>
    </row>
    <row r="176" spans="1:14">
      <c r="A176" s="45" t="str">
        <f t="shared" si="18"/>
        <v>SLEDcheckreq__,</v>
      </c>
      <c r="B176" s="46" t="str">
        <f t="shared" si="19"/>
        <v>SledRecreq__,</v>
      </c>
      <c r="C176" s="39" t="s">
        <v>38</v>
      </c>
      <c r="D176" s="40" t="s">
        <v>37</v>
      </c>
      <c r="F176" s="41"/>
      <c r="G176" s="117" t="s">
        <v>35</v>
      </c>
      <c r="H176" s="117" t="s">
        <v>35</v>
      </c>
      <c r="I176" s="47"/>
      <c r="J176" s="49" t="s">
        <v>36</v>
      </c>
      <c r="K176" s="43"/>
      <c r="M176" s="30" t="str">
        <f t="shared" si="20"/>
        <v>,</v>
      </c>
      <c r="N176" s="32" t="str">
        <f t="shared" si="21"/>
        <v xml:space="preserve"> </v>
      </c>
    </row>
    <row r="177" spans="1:14">
      <c r="A177" s="45" t="str">
        <f t="shared" ref="A177:A240" si="22">CONCATENATE(D177,G177,F177,G177,I177,J177,K177)</f>
        <v>SLEDcheckreq__,</v>
      </c>
      <c r="B177" s="46" t="str">
        <f t="shared" ref="B177:B240" si="23">CONCATENATE(C177,H177,F177,H177,I177,J177,K177)</f>
        <v>SledRecreq__,</v>
      </c>
      <c r="C177" s="39" t="s">
        <v>38</v>
      </c>
      <c r="D177" s="40" t="s">
        <v>37</v>
      </c>
      <c r="F177" s="41"/>
      <c r="G177" s="117" t="s">
        <v>35</v>
      </c>
      <c r="H177" s="117" t="s">
        <v>35</v>
      </c>
      <c r="I177" s="47"/>
      <c r="J177" s="49" t="s">
        <v>36</v>
      </c>
      <c r="K177" s="43"/>
      <c r="M177" s="30" t="str">
        <f t="shared" ref="M177:M240" si="24">_xlfn.CONCAT(I177:K177)</f>
        <v>,</v>
      </c>
      <c r="N177" s="32" t="str">
        <f t="shared" ref="N177:N240" si="25">CONCATENATE(K177," ",I177)</f>
        <v xml:space="preserve"> </v>
      </c>
    </row>
    <row r="178" spans="1:14">
      <c r="A178" s="45" t="str">
        <f t="shared" si="22"/>
        <v>SLEDcheckreq__,</v>
      </c>
      <c r="B178" s="46" t="str">
        <f t="shared" si="23"/>
        <v>SledRecreq__,</v>
      </c>
      <c r="C178" s="39" t="s">
        <v>38</v>
      </c>
      <c r="D178" s="40" t="s">
        <v>37</v>
      </c>
      <c r="F178" s="41"/>
      <c r="G178" s="117" t="s">
        <v>35</v>
      </c>
      <c r="H178" s="117" t="s">
        <v>35</v>
      </c>
      <c r="I178" s="47"/>
      <c r="J178" s="49" t="s">
        <v>36</v>
      </c>
      <c r="K178" s="43"/>
      <c r="M178" s="30" t="str">
        <f t="shared" si="24"/>
        <v>,</v>
      </c>
      <c r="N178" s="32" t="str">
        <f t="shared" si="25"/>
        <v xml:space="preserve"> </v>
      </c>
    </row>
    <row r="179" spans="1:14">
      <c r="A179" s="45" t="str">
        <f t="shared" si="22"/>
        <v>SLEDcheckreq__,</v>
      </c>
      <c r="B179" s="46" t="str">
        <f t="shared" si="23"/>
        <v>SledRecreq__,</v>
      </c>
      <c r="C179" s="39" t="s">
        <v>38</v>
      </c>
      <c r="D179" s="40" t="s">
        <v>37</v>
      </c>
      <c r="F179" s="41"/>
      <c r="G179" s="117" t="s">
        <v>35</v>
      </c>
      <c r="H179" s="117" t="s">
        <v>35</v>
      </c>
      <c r="I179" s="47"/>
      <c r="J179" s="49" t="s">
        <v>36</v>
      </c>
      <c r="K179" s="43"/>
      <c r="M179" s="30" t="str">
        <f t="shared" si="24"/>
        <v>,</v>
      </c>
      <c r="N179" s="32" t="str">
        <f t="shared" si="25"/>
        <v xml:space="preserve"> </v>
      </c>
    </row>
    <row r="180" spans="1:14">
      <c r="A180" s="45" t="str">
        <f t="shared" si="22"/>
        <v>SLEDcheckreq__,</v>
      </c>
      <c r="B180" s="46" t="str">
        <f t="shared" si="23"/>
        <v>SledRecreq__,</v>
      </c>
      <c r="C180" s="39" t="s">
        <v>38</v>
      </c>
      <c r="D180" s="40" t="s">
        <v>37</v>
      </c>
      <c r="F180" s="41"/>
      <c r="G180" s="117" t="s">
        <v>35</v>
      </c>
      <c r="H180" s="117" t="s">
        <v>35</v>
      </c>
      <c r="I180" s="47"/>
      <c r="J180" s="49" t="s">
        <v>36</v>
      </c>
      <c r="K180" s="43"/>
      <c r="M180" s="30" t="str">
        <f t="shared" si="24"/>
        <v>,</v>
      </c>
      <c r="N180" s="32" t="str">
        <f t="shared" si="25"/>
        <v xml:space="preserve"> </v>
      </c>
    </row>
    <row r="181" spans="1:14">
      <c r="A181" s="45" t="str">
        <f t="shared" si="22"/>
        <v>SLEDcheckreq__,</v>
      </c>
      <c r="B181" s="46" t="str">
        <f t="shared" si="23"/>
        <v>SledRecreq__,</v>
      </c>
      <c r="C181" s="39" t="s">
        <v>38</v>
      </c>
      <c r="D181" s="40" t="s">
        <v>37</v>
      </c>
      <c r="F181" s="41"/>
      <c r="G181" s="117" t="s">
        <v>35</v>
      </c>
      <c r="H181" s="117" t="s">
        <v>35</v>
      </c>
      <c r="I181" s="47"/>
      <c r="J181" s="49" t="s">
        <v>36</v>
      </c>
      <c r="K181" s="43"/>
      <c r="M181" s="30" t="str">
        <f t="shared" si="24"/>
        <v>,</v>
      </c>
      <c r="N181" s="32" t="str">
        <f t="shared" si="25"/>
        <v xml:space="preserve"> </v>
      </c>
    </row>
    <row r="182" spans="1:14">
      <c r="A182" s="45" t="str">
        <f t="shared" si="22"/>
        <v>SLEDcheckreq__,</v>
      </c>
      <c r="B182" s="46" t="str">
        <f t="shared" si="23"/>
        <v>SledRecreq__,</v>
      </c>
      <c r="C182" s="39" t="s">
        <v>38</v>
      </c>
      <c r="D182" s="40" t="s">
        <v>37</v>
      </c>
      <c r="F182" s="41"/>
      <c r="G182" s="117" t="s">
        <v>35</v>
      </c>
      <c r="H182" s="117" t="s">
        <v>35</v>
      </c>
      <c r="I182" s="47"/>
      <c r="J182" s="49" t="s">
        <v>36</v>
      </c>
      <c r="K182" s="43"/>
      <c r="M182" s="30" t="str">
        <f t="shared" si="24"/>
        <v>,</v>
      </c>
      <c r="N182" s="32" t="str">
        <f t="shared" si="25"/>
        <v xml:space="preserve"> </v>
      </c>
    </row>
    <row r="183" spans="1:14">
      <c r="A183" s="45" t="str">
        <f t="shared" si="22"/>
        <v>SLEDcheckreq__,</v>
      </c>
      <c r="B183" s="46" t="str">
        <f t="shared" si="23"/>
        <v>SledRecreq__,</v>
      </c>
      <c r="C183" s="39" t="s">
        <v>38</v>
      </c>
      <c r="D183" s="40" t="s">
        <v>37</v>
      </c>
      <c r="F183" s="41"/>
      <c r="G183" s="117" t="s">
        <v>35</v>
      </c>
      <c r="H183" s="117" t="s">
        <v>35</v>
      </c>
      <c r="I183" s="47"/>
      <c r="J183" s="49" t="s">
        <v>36</v>
      </c>
      <c r="K183" s="43"/>
      <c r="M183" s="30" t="str">
        <f t="shared" si="24"/>
        <v>,</v>
      </c>
      <c r="N183" s="32" t="str">
        <f t="shared" si="25"/>
        <v xml:space="preserve"> </v>
      </c>
    </row>
    <row r="184" spans="1:14">
      <c r="A184" s="45" t="str">
        <f t="shared" si="22"/>
        <v>SLEDcheckreq__,</v>
      </c>
      <c r="B184" s="46" t="str">
        <f t="shared" si="23"/>
        <v>SledRecreq__,</v>
      </c>
      <c r="C184" s="39" t="s">
        <v>38</v>
      </c>
      <c r="D184" s="40" t="s">
        <v>37</v>
      </c>
      <c r="F184" s="41"/>
      <c r="G184" s="117" t="s">
        <v>35</v>
      </c>
      <c r="H184" s="117" t="s">
        <v>35</v>
      </c>
      <c r="I184" s="47"/>
      <c r="J184" s="49" t="s">
        <v>36</v>
      </c>
      <c r="K184" s="43"/>
      <c r="M184" s="30" t="str">
        <f t="shared" si="24"/>
        <v>,</v>
      </c>
      <c r="N184" s="32" t="str">
        <f t="shared" si="25"/>
        <v xml:space="preserve"> </v>
      </c>
    </row>
    <row r="185" spans="1:14">
      <c r="A185" s="45" t="str">
        <f t="shared" si="22"/>
        <v>SLEDcheckreq__,</v>
      </c>
      <c r="B185" s="46" t="str">
        <f t="shared" si="23"/>
        <v>SledRecreq__,</v>
      </c>
      <c r="C185" s="39" t="s">
        <v>38</v>
      </c>
      <c r="D185" s="40" t="s">
        <v>37</v>
      </c>
      <c r="F185" s="41"/>
      <c r="G185" s="117" t="s">
        <v>35</v>
      </c>
      <c r="H185" s="117" t="s">
        <v>35</v>
      </c>
      <c r="I185" s="47"/>
      <c r="J185" s="49" t="s">
        <v>36</v>
      </c>
      <c r="K185" s="43"/>
      <c r="M185" s="30" t="str">
        <f t="shared" si="24"/>
        <v>,</v>
      </c>
      <c r="N185" s="32" t="str">
        <f t="shared" si="25"/>
        <v xml:space="preserve"> </v>
      </c>
    </row>
    <row r="186" spans="1:14">
      <c r="A186" s="45" t="str">
        <f t="shared" si="22"/>
        <v>SLEDcheckreq__,</v>
      </c>
      <c r="B186" s="46" t="str">
        <f t="shared" si="23"/>
        <v>SledRecreq__,</v>
      </c>
      <c r="C186" s="39" t="s">
        <v>38</v>
      </c>
      <c r="D186" s="40" t="s">
        <v>37</v>
      </c>
      <c r="F186" s="41"/>
      <c r="G186" s="117" t="s">
        <v>35</v>
      </c>
      <c r="H186" s="117" t="s">
        <v>35</v>
      </c>
      <c r="I186" s="47"/>
      <c r="J186" s="49" t="s">
        <v>36</v>
      </c>
      <c r="K186" s="43"/>
      <c r="M186" s="30" t="str">
        <f t="shared" si="24"/>
        <v>,</v>
      </c>
      <c r="N186" s="32" t="str">
        <f t="shared" si="25"/>
        <v xml:space="preserve"> </v>
      </c>
    </row>
    <row r="187" spans="1:14">
      <c r="A187" s="45" t="str">
        <f t="shared" si="22"/>
        <v>SLEDcheckreq__,</v>
      </c>
      <c r="B187" s="46" t="str">
        <f t="shared" si="23"/>
        <v>SledRecreq__,</v>
      </c>
      <c r="C187" s="39" t="s">
        <v>38</v>
      </c>
      <c r="D187" s="40" t="s">
        <v>37</v>
      </c>
      <c r="F187" s="41"/>
      <c r="G187" s="117" t="s">
        <v>35</v>
      </c>
      <c r="H187" s="117" t="s">
        <v>35</v>
      </c>
      <c r="I187" s="47"/>
      <c r="J187" s="49" t="s">
        <v>36</v>
      </c>
      <c r="K187" s="43"/>
      <c r="M187" s="30" t="str">
        <f t="shared" si="24"/>
        <v>,</v>
      </c>
      <c r="N187" s="32" t="str">
        <f t="shared" si="25"/>
        <v xml:space="preserve"> </v>
      </c>
    </row>
    <row r="188" spans="1:14">
      <c r="A188" s="45" t="str">
        <f t="shared" si="22"/>
        <v>SLEDcheckreq__,</v>
      </c>
      <c r="B188" s="46" t="str">
        <f t="shared" si="23"/>
        <v>SledRecreq__,</v>
      </c>
      <c r="C188" s="39" t="s">
        <v>38</v>
      </c>
      <c r="D188" s="40" t="s">
        <v>37</v>
      </c>
      <c r="F188" s="41"/>
      <c r="G188" s="117" t="s">
        <v>35</v>
      </c>
      <c r="H188" s="117" t="s">
        <v>35</v>
      </c>
      <c r="I188" s="47"/>
      <c r="J188" s="49" t="s">
        <v>36</v>
      </c>
      <c r="K188" s="43"/>
      <c r="M188" s="30" t="str">
        <f t="shared" si="24"/>
        <v>,</v>
      </c>
      <c r="N188" s="32" t="str">
        <f t="shared" si="25"/>
        <v xml:space="preserve"> </v>
      </c>
    </row>
    <row r="189" spans="1:14">
      <c r="A189" s="45" t="str">
        <f t="shared" si="22"/>
        <v>SLEDcheckreq__,</v>
      </c>
      <c r="B189" s="46" t="str">
        <f t="shared" si="23"/>
        <v>SledRecreq__,</v>
      </c>
      <c r="C189" s="39" t="s">
        <v>38</v>
      </c>
      <c r="D189" s="40" t="s">
        <v>37</v>
      </c>
      <c r="F189" s="41"/>
      <c r="G189" s="117" t="s">
        <v>35</v>
      </c>
      <c r="H189" s="117" t="s">
        <v>35</v>
      </c>
      <c r="I189" s="47"/>
      <c r="J189" s="49" t="s">
        <v>36</v>
      </c>
      <c r="K189" s="43"/>
      <c r="M189" s="30" t="str">
        <f t="shared" si="24"/>
        <v>,</v>
      </c>
      <c r="N189" s="32" t="str">
        <f t="shared" si="25"/>
        <v xml:space="preserve"> </v>
      </c>
    </row>
    <row r="190" spans="1:14">
      <c r="A190" s="45" t="str">
        <f t="shared" si="22"/>
        <v>SLEDcheckreq__,</v>
      </c>
      <c r="B190" s="46" t="str">
        <f t="shared" si="23"/>
        <v>SledRecreq__,</v>
      </c>
      <c r="C190" s="39" t="s">
        <v>38</v>
      </c>
      <c r="D190" s="40" t="s">
        <v>37</v>
      </c>
      <c r="F190" s="41"/>
      <c r="G190" s="117" t="s">
        <v>35</v>
      </c>
      <c r="H190" s="117" t="s">
        <v>35</v>
      </c>
      <c r="I190" s="47"/>
      <c r="J190" s="49" t="s">
        <v>36</v>
      </c>
      <c r="K190" s="43"/>
      <c r="M190" s="30" t="str">
        <f t="shared" si="24"/>
        <v>,</v>
      </c>
      <c r="N190" s="32" t="str">
        <f t="shared" si="25"/>
        <v xml:space="preserve"> </v>
      </c>
    </row>
    <row r="191" spans="1:14">
      <c r="A191" s="45" t="str">
        <f t="shared" si="22"/>
        <v>SLEDcheckreq__,</v>
      </c>
      <c r="B191" s="46" t="str">
        <f t="shared" si="23"/>
        <v>SledRecreq__,</v>
      </c>
      <c r="C191" s="39" t="s">
        <v>38</v>
      </c>
      <c r="D191" s="40" t="s">
        <v>37</v>
      </c>
      <c r="F191" s="41"/>
      <c r="G191" s="117" t="s">
        <v>35</v>
      </c>
      <c r="H191" s="117" t="s">
        <v>35</v>
      </c>
      <c r="I191" s="47"/>
      <c r="J191" s="49" t="s">
        <v>36</v>
      </c>
      <c r="K191" s="43"/>
      <c r="M191" s="30" t="str">
        <f t="shared" si="24"/>
        <v>,</v>
      </c>
      <c r="N191" s="32" t="str">
        <f t="shared" si="25"/>
        <v xml:space="preserve"> </v>
      </c>
    </row>
    <row r="192" spans="1:14">
      <c r="A192" s="45" t="str">
        <f t="shared" si="22"/>
        <v>SLEDcheckreq__,</v>
      </c>
      <c r="B192" s="46" t="str">
        <f t="shared" si="23"/>
        <v>SledRecreq__,</v>
      </c>
      <c r="C192" s="39" t="s">
        <v>38</v>
      </c>
      <c r="D192" s="40" t="s">
        <v>37</v>
      </c>
      <c r="F192" s="41"/>
      <c r="G192" s="117" t="s">
        <v>35</v>
      </c>
      <c r="H192" s="117" t="s">
        <v>35</v>
      </c>
      <c r="I192" s="47"/>
      <c r="J192" s="49" t="s">
        <v>36</v>
      </c>
      <c r="K192" s="43"/>
      <c r="M192" s="30" t="str">
        <f t="shared" si="24"/>
        <v>,</v>
      </c>
      <c r="N192" s="32" t="str">
        <f t="shared" si="25"/>
        <v xml:space="preserve"> </v>
      </c>
    </row>
    <row r="193" spans="1:14">
      <c r="A193" s="45" t="str">
        <f t="shared" si="22"/>
        <v>SLEDcheckreq__,</v>
      </c>
      <c r="B193" s="46" t="str">
        <f t="shared" si="23"/>
        <v>SledRecreq__,</v>
      </c>
      <c r="C193" s="39" t="s">
        <v>38</v>
      </c>
      <c r="D193" s="40" t="s">
        <v>37</v>
      </c>
      <c r="F193" s="41"/>
      <c r="G193" s="117" t="s">
        <v>35</v>
      </c>
      <c r="H193" s="117" t="s">
        <v>35</v>
      </c>
      <c r="I193" s="47"/>
      <c r="J193" s="49" t="s">
        <v>36</v>
      </c>
      <c r="K193" s="43"/>
      <c r="M193" s="30" t="str">
        <f t="shared" si="24"/>
        <v>,</v>
      </c>
      <c r="N193" s="32" t="str">
        <f t="shared" si="25"/>
        <v xml:space="preserve"> </v>
      </c>
    </row>
    <row r="194" spans="1:14">
      <c r="A194" s="45" t="str">
        <f t="shared" si="22"/>
        <v>SLEDcheckreq__,</v>
      </c>
      <c r="B194" s="46" t="str">
        <f t="shared" si="23"/>
        <v>SledRecreq__,</v>
      </c>
      <c r="C194" s="39" t="s">
        <v>38</v>
      </c>
      <c r="D194" s="40" t="s">
        <v>37</v>
      </c>
      <c r="F194" s="41"/>
      <c r="G194" s="117" t="s">
        <v>35</v>
      </c>
      <c r="H194" s="117" t="s">
        <v>35</v>
      </c>
      <c r="I194" s="47"/>
      <c r="J194" s="49" t="s">
        <v>36</v>
      </c>
      <c r="K194" s="43"/>
      <c r="M194" s="30" t="str">
        <f t="shared" si="24"/>
        <v>,</v>
      </c>
      <c r="N194" s="32" t="str">
        <f t="shared" si="25"/>
        <v xml:space="preserve"> </v>
      </c>
    </row>
    <row r="195" spans="1:14">
      <c r="A195" s="45" t="str">
        <f t="shared" si="22"/>
        <v>SLEDcheckreq__,</v>
      </c>
      <c r="B195" s="46" t="str">
        <f t="shared" si="23"/>
        <v>SledRecreq__,</v>
      </c>
      <c r="C195" s="39" t="s">
        <v>38</v>
      </c>
      <c r="D195" s="40" t="s">
        <v>37</v>
      </c>
      <c r="F195" s="41"/>
      <c r="G195" s="117" t="s">
        <v>35</v>
      </c>
      <c r="H195" s="117" t="s">
        <v>35</v>
      </c>
      <c r="I195" s="47"/>
      <c r="J195" s="49" t="s">
        <v>36</v>
      </c>
      <c r="K195" s="43"/>
      <c r="M195" s="30" t="str">
        <f t="shared" si="24"/>
        <v>,</v>
      </c>
      <c r="N195" s="32" t="str">
        <f t="shared" si="25"/>
        <v xml:space="preserve"> </v>
      </c>
    </row>
    <row r="196" spans="1:14">
      <c r="A196" s="45" t="str">
        <f t="shared" si="22"/>
        <v>SLEDcheckreq__,</v>
      </c>
      <c r="B196" s="46" t="str">
        <f t="shared" si="23"/>
        <v>SledRecreq__,</v>
      </c>
      <c r="C196" s="39" t="s">
        <v>38</v>
      </c>
      <c r="D196" s="40" t="s">
        <v>37</v>
      </c>
      <c r="F196" s="41"/>
      <c r="G196" s="117" t="s">
        <v>35</v>
      </c>
      <c r="H196" s="117" t="s">
        <v>35</v>
      </c>
      <c r="I196" s="47"/>
      <c r="J196" s="49" t="s">
        <v>36</v>
      </c>
      <c r="K196" s="43"/>
      <c r="M196" s="30" t="str">
        <f t="shared" si="24"/>
        <v>,</v>
      </c>
      <c r="N196" s="32" t="str">
        <f t="shared" si="25"/>
        <v xml:space="preserve"> </v>
      </c>
    </row>
    <row r="197" spans="1:14">
      <c r="A197" s="45" t="str">
        <f t="shared" si="22"/>
        <v>SLEDcheckreq__,</v>
      </c>
      <c r="B197" s="46" t="str">
        <f t="shared" si="23"/>
        <v>SledRecreq__,</v>
      </c>
      <c r="C197" s="39" t="s">
        <v>38</v>
      </c>
      <c r="D197" s="40" t="s">
        <v>37</v>
      </c>
      <c r="F197" s="41"/>
      <c r="G197" s="117" t="s">
        <v>35</v>
      </c>
      <c r="H197" s="117" t="s">
        <v>35</v>
      </c>
      <c r="I197" s="47"/>
      <c r="J197" s="49" t="s">
        <v>36</v>
      </c>
      <c r="K197" s="43"/>
      <c r="M197" s="30" t="str">
        <f t="shared" si="24"/>
        <v>,</v>
      </c>
      <c r="N197" s="32" t="str">
        <f t="shared" si="25"/>
        <v xml:space="preserve"> </v>
      </c>
    </row>
    <row r="198" spans="1:14">
      <c r="A198" s="45" t="str">
        <f t="shared" si="22"/>
        <v>SLEDcheckreq__,</v>
      </c>
      <c r="B198" s="46" t="str">
        <f t="shared" si="23"/>
        <v>SledRecreq__,</v>
      </c>
      <c r="C198" s="39" t="s">
        <v>38</v>
      </c>
      <c r="D198" s="40" t="s">
        <v>37</v>
      </c>
      <c r="F198" s="41"/>
      <c r="G198" s="117" t="s">
        <v>35</v>
      </c>
      <c r="H198" s="117" t="s">
        <v>35</v>
      </c>
      <c r="I198" s="47"/>
      <c r="J198" s="49" t="s">
        <v>36</v>
      </c>
      <c r="K198" s="43"/>
      <c r="M198" s="30" t="str">
        <f t="shared" si="24"/>
        <v>,</v>
      </c>
      <c r="N198" s="32" t="str">
        <f t="shared" si="25"/>
        <v xml:space="preserve"> </v>
      </c>
    </row>
    <row r="199" spans="1:14">
      <c r="A199" s="45" t="str">
        <f t="shared" si="22"/>
        <v>SLEDcheckreq__,</v>
      </c>
      <c r="B199" s="46" t="str">
        <f t="shared" si="23"/>
        <v>SledRecreq__,</v>
      </c>
      <c r="C199" s="39" t="s">
        <v>38</v>
      </c>
      <c r="D199" s="40" t="s">
        <v>37</v>
      </c>
      <c r="F199" s="41"/>
      <c r="G199" s="117" t="s">
        <v>35</v>
      </c>
      <c r="H199" s="117" t="s">
        <v>35</v>
      </c>
      <c r="I199" s="47"/>
      <c r="J199" s="49" t="s">
        <v>36</v>
      </c>
      <c r="K199" s="43"/>
      <c r="M199" s="30" t="str">
        <f t="shared" si="24"/>
        <v>,</v>
      </c>
      <c r="N199" s="32" t="str">
        <f t="shared" si="25"/>
        <v xml:space="preserve"> </v>
      </c>
    </row>
    <row r="200" spans="1:14">
      <c r="A200" s="45" t="str">
        <f t="shared" si="22"/>
        <v>SLEDcheckreq__,</v>
      </c>
      <c r="B200" s="46" t="str">
        <f t="shared" si="23"/>
        <v>SledRecreq__,</v>
      </c>
      <c r="C200" s="39" t="s">
        <v>38</v>
      </c>
      <c r="D200" s="40" t="s">
        <v>37</v>
      </c>
      <c r="F200" s="41"/>
      <c r="G200" s="117" t="s">
        <v>35</v>
      </c>
      <c r="H200" s="117" t="s">
        <v>35</v>
      </c>
      <c r="I200" s="47"/>
      <c r="J200" s="49" t="s">
        <v>36</v>
      </c>
      <c r="K200" s="43"/>
      <c r="M200" s="30" t="str">
        <f t="shared" si="24"/>
        <v>,</v>
      </c>
      <c r="N200" s="32" t="str">
        <f t="shared" si="25"/>
        <v xml:space="preserve"> </v>
      </c>
    </row>
    <row r="201" spans="1:14">
      <c r="A201" s="45" t="str">
        <f t="shared" si="22"/>
        <v>SLEDcheckreq__,</v>
      </c>
      <c r="B201" s="46" t="str">
        <f t="shared" si="23"/>
        <v>SledRecreq__,</v>
      </c>
      <c r="C201" s="39" t="s">
        <v>38</v>
      </c>
      <c r="D201" s="40" t="s">
        <v>37</v>
      </c>
      <c r="F201" s="41"/>
      <c r="G201" s="117" t="s">
        <v>35</v>
      </c>
      <c r="H201" s="117" t="s">
        <v>35</v>
      </c>
      <c r="I201" s="47"/>
      <c r="J201" s="49" t="s">
        <v>36</v>
      </c>
      <c r="K201" s="43"/>
      <c r="M201" s="30" t="str">
        <f t="shared" si="24"/>
        <v>,</v>
      </c>
      <c r="N201" s="32" t="str">
        <f t="shared" si="25"/>
        <v xml:space="preserve"> </v>
      </c>
    </row>
    <row r="202" spans="1:14">
      <c r="A202" s="45" t="str">
        <f t="shared" si="22"/>
        <v>SLEDcheckreq__,</v>
      </c>
      <c r="B202" s="46" t="str">
        <f t="shared" si="23"/>
        <v>SledRecreq__,</v>
      </c>
      <c r="C202" s="39" t="s">
        <v>38</v>
      </c>
      <c r="D202" s="40" t="s">
        <v>37</v>
      </c>
      <c r="F202" s="41"/>
      <c r="G202" s="117" t="s">
        <v>35</v>
      </c>
      <c r="H202" s="117" t="s">
        <v>35</v>
      </c>
      <c r="I202" s="47"/>
      <c r="J202" s="49" t="s">
        <v>36</v>
      </c>
      <c r="K202" s="43"/>
      <c r="M202" s="30" t="str">
        <f t="shared" si="24"/>
        <v>,</v>
      </c>
      <c r="N202" s="32" t="str">
        <f t="shared" si="25"/>
        <v xml:space="preserve"> </v>
      </c>
    </row>
    <row r="203" spans="1:14">
      <c r="A203" s="45" t="str">
        <f t="shared" si="22"/>
        <v>SLEDcheckreq__,</v>
      </c>
      <c r="B203" s="46" t="str">
        <f t="shared" si="23"/>
        <v>SledRecreq__,</v>
      </c>
      <c r="C203" s="39" t="s">
        <v>38</v>
      </c>
      <c r="D203" s="40" t="s">
        <v>37</v>
      </c>
      <c r="F203" s="41"/>
      <c r="G203" s="117" t="s">
        <v>35</v>
      </c>
      <c r="H203" s="117" t="s">
        <v>35</v>
      </c>
      <c r="I203" s="47"/>
      <c r="J203" s="49" t="s">
        <v>36</v>
      </c>
      <c r="K203" s="43"/>
      <c r="M203" s="30" t="str">
        <f t="shared" si="24"/>
        <v>,</v>
      </c>
      <c r="N203" s="32" t="str">
        <f t="shared" si="25"/>
        <v xml:space="preserve"> </v>
      </c>
    </row>
    <row r="204" spans="1:14">
      <c r="A204" s="45" t="str">
        <f t="shared" si="22"/>
        <v>SLEDcheckreq__,</v>
      </c>
      <c r="B204" s="46" t="str">
        <f t="shared" si="23"/>
        <v>SledRecreq__,</v>
      </c>
      <c r="C204" s="39" t="s">
        <v>38</v>
      </c>
      <c r="D204" s="40" t="s">
        <v>37</v>
      </c>
      <c r="F204" s="41"/>
      <c r="G204" s="117" t="s">
        <v>35</v>
      </c>
      <c r="H204" s="117" t="s">
        <v>35</v>
      </c>
      <c r="I204" s="47"/>
      <c r="J204" s="49" t="s">
        <v>36</v>
      </c>
      <c r="K204" s="43"/>
      <c r="M204" s="30" t="str">
        <f t="shared" si="24"/>
        <v>,</v>
      </c>
      <c r="N204" s="32" t="str">
        <f t="shared" si="25"/>
        <v xml:space="preserve"> </v>
      </c>
    </row>
    <row r="205" spans="1:14">
      <c r="A205" s="45" t="str">
        <f t="shared" si="22"/>
        <v>SLEDcheckreq__,</v>
      </c>
      <c r="B205" s="46" t="str">
        <f t="shared" si="23"/>
        <v>SledRecreq__,</v>
      </c>
      <c r="C205" s="39" t="s">
        <v>38</v>
      </c>
      <c r="D205" s="40" t="s">
        <v>37</v>
      </c>
      <c r="F205" s="41"/>
      <c r="G205" s="117" t="s">
        <v>35</v>
      </c>
      <c r="H205" s="117" t="s">
        <v>35</v>
      </c>
      <c r="I205" s="47"/>
      <c r="J205" s="49" t="s">
        <v>36</v>
      </c>
      <c r="K205" s="43"/>
      <c r="M205" s="30" t="str">
        <f t="shared" si="24"/>
        <v>,</v>
      </c>
      <c r="N205" s="32" t="str">
        <f t="shared" si="25"/>
        <v xml:space="preserve"> </v>
      </c>
    </row>
    <row r="206" spans="1:14">
      <c r="A206" s="45" t="str">
        <f t="shared" si="22"/>
        <v>SLEDcheckreq__,</v>
      </c>
      <c r="B206" s="46" t="str">
        <f t="shared" si="23"/>
        <v>SledRecreq__,</v>
      </c>
      <c r="C206" s="39" t="s">
        <v>38</v>
      </c>
      <c r="D206" s="40" t="s">
        <v>37</v>
      </c>
      <c r="F206" s="41"/>
      <c r="G206" s="117" t="s">
        <v>35</v>
      </c>
      <c r="H206" s="117" t="s">
        <v>35</v>
      </c>
      <c r="I206" s="47"/>
      <c r="J206" s="49" t="s">
        <v>36</v>
      </c>
      <c r="K206" s="43"/>
      <c r="M206" s="30" t="str">
        <f t="shared" si="24"/>
        <v>,</v>
      </c>
      <c r="N206" s="32" t="str">
        <f t="shared" si="25"/>
        <v xml:space="preserve"> </v>
      </c>
    </row>
    <row r="207" spans="1:14">
      <c r="A207" s="45" t="str">
        <f t="shared" si="22"/>
        <v>SLEDcheckreq__,</v>
      </c>
      <c r="B207" s="46" t="str">
        <f t="shared" si="23"/>
        <v>SledRecreq__,</v>
      </c>
      <c r="C207" s="39" t="s">
        <v>38</v>
      </c>
      <c r="D207" s="40" t="s">
        <v>37</v>
      </c>
      <c r="F207" s="41"/>
      <c r="G207" s="117" t="s">
        <v>35</v>
      </c>
      <c r="H207" s="117" t="s">
        <v>35</v>
      </c>
      <c r="I207" s="47"/>
      <c r="J207" s="49" t="s">
        <v>36</v>
      </c>
      <c r="K207" s="43"/>
      <c r="M207" s="30" t="str">
        <f t="shared" si="24"/>
        <v>,</v>
      </c>
      <c r="N207" s="32" t="str">
        <f t="shared" si="25"/>
        <v xml:space="preserve"> </v>
      </c>
    </row>
    <row r="208" spans="1:14">
      <c r="A208" s="45" t="str">
        <f t="shared" si="22"/>
        <v>SLEDcheckreq__,</v>
      </c>
      <c r="B208" s="46" t="str">
        <f t="shared" si="23"/>
        <v>SledRecreq__,</v>
      </c>
      <c r="C208" s="39" t="s">
        <v>38</v>
      </c>
      <c r="D208" s="40" t="s">
        <v>37</v>
      </c>
      <c r="F208" s="41"/>
      <c r="G208" s="117" t="s">
        <v>35</v>
      </c>
      <c r="H208" s="117" t="s">
        <v>35</v>
      </c>
      <c r="I208" s="47"/>
      <c r="J208" s="49" t="s">
        <v>36</v>
      </c>
      <c r="K208" s="43"/>
      <c r="M208" s="30" t="str">
        <f t="shared" si="24"/>
        <v>,</v>
      </c>
      <c r="N208" s="32" t="str">
        <f t="shared" si="25"/>
        <v xml:space="preserve"> </v>
      </c>
    </row>
    <row r="209" spans="1:14">
      <c r="A209" s="45" t="str">
        <f t="shared" si="22"/>
        <v>SLEDcheckreq__,</v>
      </c>
      <c r="B209" s="46" t="str">
        <f t="shared" si="23"/>
        <v>SledRecreq__,</v>
      </c>
      <c r="C209" s="39" t="s">
        <v>38</v>
      </c>
      <c r="D209" s="40" t="s">
        <v>37</v>
      </c>
      <c r="F209" s="41"/>
      <c r="G209" s="117" t="s">
        <v>35</v>
      </c>
      <c r="H209" s="117" t="s">
        <v>35</v>
      </c>
      <c r="I209" s="47"/>
      <c r="J209" s="49" t="s">
        <v>36</v>
      </c>
      <c r="K209" s="43"/>
      <c r="M209" s="30" t="str">
        <f t="shared" si="24"/>
        <v>,</v>
      </c>
      <c r="N209" s="32" t="str">
        <f t="shared" si="25"/>
        <v xml:space="preserve"> </v>
      </c>
    </row>
    <row r="210" spans="1:14">
      <c r="A210" s="45" t="str">
        <f t="shared" si="22"/>
        <v>SLEDcheckreq__,</v>
      </c>
      <c r="B210" s="46" t="str">
        <f t="shared" si="23"/>
        <v>SledRecreq__,</v>
      </c>
      <c r="C210" s="39" t="s">
        <v>38</v>
      </c>
      <c r="D210" s="40" t="s">
        <v>37</v>
      </c>
      <c r="F210" s="41"/>
      <c r="G210" s="117" t="s">
        <v>35</v>
      </c>
      <c r="H210" s="117" t="s">
        <v>35</v>
      </c>
      <c r="I210" s="47"/>
      <c r="J210" s="49" t="s">
        <v>36</v>
      </c>
      <c r="K210" s="43"/>
      <c r="M210" s="30" t="str">
        <f t="shared" si="24"/>
        <v>,</v>
      </c>
      <c r="N210" s="32" t="str">
        <f t="shared" si="25"/>
        <v xml:space="preserve"> </v>
      </c>
    </row>
    <row r="211" spans="1:14">
      <c r="A211" s="45" t="str">
        <f t="shared" si="22"/>
        <v>SLEDcheckreq__,</v>
      </c>
      <c r="B211" s="46" t="str">
        <f t="shared" si="23"/>
        <v>SledRecreq__,</v>
      </c>
      <c r="C211" s="39" t="s">
        <v>38</v>
      </c>
      <c r="D211" s="40" t="s">
        <v>37</v>
      </c>
      <c r="F211" s="41"/>
      <c r="G211" s="117" t="s">
        <v>35</v>
      </c>
      <c r="H211" s="117" t="s">
        <v>35</v>
      </c>
      <c r="I211" s="47"/>
      <c r="J211" s="49" t="s">
        <v>36</v>
      </c>
      <c r="K211" s="43"/>
      <c r="M211" s="30" t="str">
        <f t="shared" si="24"/>
        <v>,</v>
      </c>
      <c r="N211" s="32" t="str">
        <f t="shared" si="25"/>
        <v xml:space="preserve"> </v>
      </c>
    </row>
    <row r="212" spans="1:14">
      <c r="A212" s="45" t="str">
        <f t="shared" si="22"/>
        <v>SLEDcheckreq__,</v>
      </c>
      <c r="B212" s="46" t="str">
        <f t="shared" si="23"/>
        <v>SledRecreq__,</v>
      </c>
      <c r="C212" s="39" t="s">
        <v>38</v>
      </c>
      <c r="D212" s="40" t="s">
        <v>37</v>
      </c>
      <c r="F212" s="41"/>
      <c r="G212" s="117" t="s">
        <v>35</v>
      </c>
      <c r="H212" s="117" t="s">
        <v>35</v>
      </c>
      <c r="I212" s="47"/>
      <c r="J212" s="49" t="s">
        <v>36</v>
      </c>
      <c r="K212" s="43"/>
      <c r="M212" s="30" t="str">
        <f t="shared" si="24"/>
        <v>,</v>
      </c>
      <c r="N212" s="32" t="str">
        <f t="shared" si="25"/>
        <v xml:space="preserve"> </v>
      </c>
    </row>
    <row r="213" spans="1:14">
      <c r="A213" s="45" t="str">
        <f t="shared" si="22"/>
        <v>SLEDcheckreq__,</v>
      </c>
      <c r="B213" s="46" t="str">
        <f t="shared" si="23"/>
        <v>SledRecreq__,</v>
      </c>
      <c r="C213" s="39" t="s">
        <v>38</v>
      </c>
      <c r="D213" s="40" t="s">
        <v>37</v>
      </c>
      <c r="F213" s="41"/>
      <c r="G213" s="117" t="s">
        <v>35</v>
      </c>
      <c r="H213" s="117" t="s">
        <v>35</v>
      </c>
      <c r="I213" s="47"/>
      <c r="J213" s="49" t="s">
        <v>36</v>
      </c>
      <c r="K213" s="43"/>
      <c r="M213" s="30" t="str">
        <f t="shared" si="24"/>
        <v>,</v>
      </c>
      <c r="N213" s="32" t="str">
        <f t="shared" si="25"/>
        <v xml:space="preserve"> </v>
      </c>
    </row>
    <row r="214" spans="1:14">
      <c r="A214" s="45" t="str">
        <f t="shared" si="22"/>
        <v>SLEDcheckreq__,</v>
      </c>
      <c r="B214" s="46" t="str">
        <f t="shared" si="23"/>
        <v>SledRecreq__,</v>
      </c>
      <c r="C214" s="39" t="s">
        <v>38</v>
      </c>
      <c r="D214" s="40" t="s">
        <v>37</v>
      </c>
      <c r="F214" s="41"/>
      <c r="G214" s="117" t="s">
        <v>35</v>
      </c>
      <c r="H214" s="117" t="s">
        <v>35</v>
      </c>
      <c r="I214" s="47"/>
      <c r="J214" s="49" t="s">
        <v>36</v>
      </c>
      <c r="K214" s="43"/>
      <c r="M214" s="30" t="str">
        <f t="shared" si="24"/>
        <v>,</v>
      </c>
      <c r="N214" s="32" t="str">
        <f t="shared" si="25"/>
        <v xml:space="preserve"> </v>
      </c>
    </row>
    <row r="215" spans="1:14">
      <c r="A215" s="45" t="str">
        <f t="shared" si="22"/>
        <v>SLEDcheckreq__,</v>
      </c>
      <c r="B215" s="46" t="str">
        <f t="shared" si="23"/>
        <v>SledRecreq__,</v>
      </c>
      <c r="C215" s="39" t="s">
        <v>38</v>
      </c>
      <c r="D215" s="40" t="s">
        <v>37</v>
      </c>
      <c r="F215" s="41"/>
      <c r="G215" s="117" t="s">
        <v>35</v>
      </c>
      <c r="H215" s="117" t="s">
        <v>35</v>
      </c>
      <c r="I215" s="47"/>
      <c r="J215" s="49" t="s">
        <v>36</v>
      </c>
      <c r="K215" s="43"/>
      <c r="M215" s="30" t="str">
        <f t="shared" si="24"/>
        <v>,</v>
      </c>
      <c r="N215" s="32" t="str">
        <f t="shared" si="25"/>
        <v xml:space="preserve"> </v>
      </c>
    </row>
    <row r="216" spans="1:14">
      <c r="A216" s="45" t="str">
        <f t="shared" si="22"/>
        <v>SLEDcheckreq__,</v>
      </c>
      <c r="B216" s="46" t="str">
        <f t="shared" si="23"/>
        <v>SledRecreq__,</v>
      </c>
      <c r="C216" s="39" t="s">
        <v>38</v>
      </c>
      <c r="D216" s="40" t="s">
        <v>37</v>
      </c>
      <c r="F216" s="41"/>
      <c r="G216" s="117" t="s">
        <v>35</v>
      </c>
      <c r="H216" s="117" t="s">
        <v>35</v>
      </c>
      <c r="I216" s="47"/>
      <c r="J216" s="49" t="s">
        <v>36</v>
      </c>
      <c r="K216" s="43"/>
      <c r="M216" s="30" t="str">
        <f t="shared" si="24"/>
        <v>,</v>
      </c>
      <c r="N216" s="32" t="str">
        <f t="shared" si="25"/>
        <v xml:space="preserve"> </v>
      </c>
    </row>
    <row r="217" spans="1:14">
      <c r="A217" s="45" t="str">
        <f t="shared" si="22"/>
        <v>SLEDcheckreq__,</v>
      </c>
      <c r="B217" s="46" t="str">
        <f t="shared" si="23"/>
        <v>SledRecreq__,</v>
      </c>
      <c r="C217" s="39" t="s">
        <v>38</v>
      </c>
      <c r="D217" s="40" t="s">
        <v>37</v>
      </c>
      <c r="F217" s="41"/>
      <c r="G217" s="117" t="s">
        <v>35</v>
      </c>
      <c r="H217" s="117" t="s">
        <v>35</v>
      </c>
      <c r="I217" s="47"/>
      <c r="J217" s="49" t="s">
        <v>36</v>
      </c>
      <c r="K217" s="43"/>
      <c r="M217" s="30" t="str">
        <f t="shared" si="24"/>
        <v>,</v>
      </c>
      <c r="N217" s="32" t="str">
        <f t="shared" si="25"/>
        <v xml:space="preserve"> </v>
      </c>
    </row>
    <row r="218" spans="1:14">
      <c r="A218" s="45" t="str">
        <f t="shared" si="22"/>
        <v>SLEDcheckreq__,</v>
      </c>
      <c r="B218" s="46" t="str">
        <f t="shared" si="23"/>
        <v>SledRecreq__,</v>
      </c>
      <c r="C218" s="39" t="s">
        <v>38</v>
      </c>
      <c r="D218" s="40" t="s">
        <v>37</v>
      </c>
      <c r="F218" s="41"/>
      <c r="G218" s="117" t="s">
        <v>35</v>
      </c>
      <c r="H218" s="117" t="s">
        <v>35</v>
      </c>
      <c r="I218" s="47"/>
      <c r="J218" s="49" t="s">
        <v>36</v>
      </c>
      <c r="K218" s="43"/>
      <c r="M218" s="30" t="str">
        <f t="shared" si="24"/>
        <v>,</v>
      </c>
      <c r="N218" s="32" t="str">
        <f t="shared" si="25"/>
        <v xml:space="preserve"> </v>
      </c>
    </row>
    <row r="219" spans="1:14">
      <c r="A219" s="45" t="str">
        <f t="shared" si="22"/>
        <v>SLEDcheckreq__,</v>
      </c>
      <c r="B219" s="46" t="str">
        <f t="shared" si="23"/>
        <v>SledRecreq__,</v>
      </c>
      <c r="C219" s="39" t="s">
        <v>38</v>
      </c>
      <c r="D219" s="40" t="s">
        <v>37</v>
      </c>
      <c r="F219" s="41"/>
      <c r="G219" s="117" t="s">
        <v>35</v>
      </c>
      <c r="H219" s="117" t="s">
        <v>35</v>
      </c>
      <c r="I219" s="47"/>
      <c r="J219" s="49" t="s">
        <v>36</v>
      </c>
      <c r="K219" s="43"/>
      <c r="M219" s="30" t="str">
        <f t="shared" si="24"/>
        <v>,</v>
      </c>
      <c r="N219" s="32" t="str">
        <f t="shared" si="25"/>
        <v xml:space="preserve"> </v>
      </c>
    </row>
    <row r="220" spans="1:14">
      <c r="A220" s="45" t="str">
        <f t="shared" si="22"/>
        <v>SLEDcheckreq__,</v>
      </c>
      <c r="B220" s="46" t="str">
        <f t="shared" si="23"/>
        <v>SledRecreq__,</v>
      </c>
      <c r="C220" s="39" t="s">
        <v>38</v>
      </c>
      <c r="D220" s="40" t="s">
        <v>37</v>
      </c>
      <c r="F220" s="41"/>
      <c r="G220" s="117" t="s">
        <v>35</v>
      </c>
      <c r="H220" s="117" t="s">
        <v>35</v>
      </c>
      <c r="I220" s="47"/>
      <c r="J220" s="49" t="s">
        <v>36</v>
      </c>
      <c r="K220" s="43"/>
      <c r="M220" s="30" t="str">
        <f t="shared" si="24"/>
        <v>,</v>
      </c>
      <c r="N220" s="32" t="str">
        <f t="shared" si="25"/>
        <v xml:space="preserve"> </v>
      </c>
    </row>
    <row r="221" spans="1:14">
      <c r="A221" s="45" t="str">
        <f t="shared" si="22"/>
        <v>SLEDcheckreq__,</v>
      </c>
      <c r="B221" s="46" t="str">
        <f t="shared" si="23"/>
        <v>SledRecreq__,</v>
      </c>
      <c r="C221" s="39" t="s">
        <v>38</v>
      </c>
      <c r="D221" s="40" t="s">
        <v>37</v>
      </c>
      <c r="F221" s="41"/>
      <c r="G221" s="117" t="s">
        <v>35</v>
      </c>
      <c r="H221" s="117" t="s">
        <v>35</v>
      </c>
      <c r="I221" s="47"/>
      <c r="J221" s="49" t="s">
        <v>36</v>
      </c>
      <c r="K221" s="43"/>
      <c r="M221" s="30" t="str">
        <f t="shared" si="24"/>
        <v>,</v>
      </c>
      <c r="N221" s="32" t="str">
        <f t="shared" si="25"/>
        <v xml:space="preserve"> </v>
      </c>
    </row>
    <row r="222" spans="1:14">
      <c r="A222" s="45" t="str">
        <f t="shared" si="22"/>
        <v>SLEDcheckreq__,</v>
      </c>
      <c r="B222" s="46" t="str">
        <f t="shared" si="23"/>
        <v>SledRecreq__,</v>
      </c>
      <c r="C222" s="39" t="s">
        <v>38</v>
      </c>
      <c r="D222" s="40" t="s">
        <v>37</v>
      </c>
      <c r="F222" s="41"/>
      <c r="G222" s="117" t="s">
        <v>35</v>
      </c>
      <c r="H222" s="117" t="s">
        <v>35</v>
      </c>
      <c r="I222" s="47"/>
      <c r="J222" s="49" t="s">
        <v>36</v>
      </c>
      <c r="K222" s="43"/>
      <c r="M222" s="30" t="str">
        <f t="shared" si="24"/>
        <v>,</v>
      </c>
      <c r="N222" s="32" t="str">
        <f t="shared" si="25"/>
        <v xml:space="preserve"> </v>
      </c>
    </row>
    <row r="223" spans="1:14">
      <c r="A223" s="45" t="str">
        <f t="shared" si="22"/>
        <v>SLEDcheckreq__,</v>
      </c>
      <c r="B223" s="46" t="str">
        <f t="shared" si="23"/>
        <v>SledRecreq__,</v>
      </c>
      <c r="C223" s="39" t="s">
        <v>38</v>
      </c>
      <c r="D223" s="40" t="s">
        <v>37</v>
      </c>
      <c r="F223" s="41"/>
      <c r="G223" s="117" t="s">
        <v>35</v>
      </c>
      <c r="H223" s="117" t="s">
        <v>35</v>
      </c>
      <c r="I223" s="47"/>
      <c r="J223" s="49" t="s">
        <v>36</v>
      </c>
      <c r="K223" s="43"/>
      <c r="M223" s="30" t="str">
        <f t="shared" si="24"/>
        <v>,</v>
      </c>
      <c r="N223" s="32" t="str">
        <f t="shared" si="25"/>
        <v xml:space="preserve"> </v>
      </c>
    </row>
    <row r="224" spans="1:14">
      <c r="A224" s="45" t="str">
        <f t="shared" si="22"/>
        <v>SLEDcheckreq__,</v>
      </c>
      <c r="B224" s="46" t="str">
        <f t="shared" si="23"/>
        <v>SledRecreq__,</v>
      </c>
      <c r="C224" s="39" t="s">
        <v>38</v>
      </c>
      <c r="D224" s="40" t="s">
        <v>37</v>
      </c>
      <c r="F224" s="41"/>
      <c r="G224" s="117" t="s">
        <v>35</v>
      </c>
      <c r="H224" s="117" t="s">
        <v>35</v>
      </c>
      <c r="I224" s="47"/>
      <c r="J224" s="49" t="s">
        <v>36</v>
      </c>
      <c r="K224" s="43"/>
      <c r="M224" s="30" t="str">
        <f t="shared" si="24"/>
        <v>,</v>
      </c>
      <c r="N224" s="32" t="str">
        <f t="shared" si="25"/>
        <v xml:space="preserve"> </v>
      </c>
    </row>
    <row r="225" spans="1:14">
      <c r="A225" s="45" t="str">
        <f t="shared" si="22"/>
        <v>SLEDcheckreq__,</v>
      </c>
      <c r="B225" s="46" t="str">
        <f t="shared" si="23"/>
        <v>SledRecreq__,</v>
      </c>
      <c r="C225" s="39" t="s">
        <v>38</v>
      </c>
      <c r="D225" s="40" t="s">
        <v>37</v>
      </c>
      <c r="F225" s="41"/>
      <c r="G225" s="117" t="s">
        <v>35</v>
      </c>
      <c r="H225" s="117" t="s">
        <v>35</v>
      </c>
      <c r="I225" s="47"/>
      <c r="J225" s="49" t="s">
        <v>36</v>
      </c>
      <c r="K225" s="43"/>
      <c r="M225" s="30" t="str">
        <f t="shared" si="24"/>
        <v>,</v>
      </c>
      <c r="N225" s="32" t="str">
        <f t="shared" si="25"/>
        <v xml:space="preserve"> </v>
      </c>
    </row>
    <row r="226" spans="1:14">
      <c r="A226" s="45" t="str">
        <f t="shared" si="22"/>
        <v>SLEDcheckreq__,</v>
      </c>
      <c r="B226" s="46" t="str">
        <f t="shared" si="23"/>
        <v>SledRecreq__,</v>
      </c>
      <c r="C226" s="39" t="s">
        <v>38</v>
      </c>
      <c r="D226" s="40" t="s">
        <v>37</v>
      </c>
      <c r="F226" s="41"/>
      <c r="G226" s="117" t="s">
        <v>35</v>
      </c>
      <c r="H226" s="117" t="s">
        <v>35</v>
      </c>
      <c r="I226" s="47"/>
      <c r="J226" s="49" t="s">
        <v>36</v>
      </c>
      <c r="K226" s="43"/>
      <c r="M226" s="30" t="str">
        <f t="shared" si="24"/>
        <v>,</v>
      </c>
      <c r="N226" s="32" t="str">
        <f t="shared" si="25"/>
        <v xml:space="preserve"> </v>
      </c>
    </row>
    <row r="227" spans="1:14">
      <c r="A227" s="45" t="str">
        <f t="shared" si="22"/>
        <v>SLEDcheckreq__,</v>
      </c>
      <c r="B227" s="46" t="str">
        <f t="shared" si="23"/>
        <v>SledRecreq__,</v>
      </c>
      <c r="C227" s="39" t="s">
        <v>38</v>
      </c>
      <c r="D227" s="40" t="s">
        <v>37</v>
      </c>
      <c r="F227" s="41"/>
      <c r="G227" s="117" t="s">
        <v>35</v>
      </c>
      <c r="H227" s="117" t="s">
        <v>35</v>
      </c>
      <c r="I227" s="47"/>
      <c r="J227" s="49" t="s">
        <v>36</v>
      </c>
      <c r="K227" s="43"/>
      <c r="M227" s="30" t="str">
        <f t="shared" si="24"/>
        <v>,</v>
      </c>
      <c r="N227" s="32" t="str">
        <f t="shared" si="25"/>
        <v xml:space="preserve"> </v>
      </c>
    </row>
    <row r="228" spans="1:14">
      <c r="A228" s="45" t="str">
        <f t="shared" si="22"/>
        <v>SLEDcheckreq__,</v>
      </c>
      <c r="B228" s="46" t="str">
        <f t="shared" si="23"/>
        <v>SledRecreq__,</v>
      </c>
      <c r="C228" s="39" t="s">
        <v>38</v>
      </c>
      <c r="D228" s="40" t="s">
        <v>37</v>
      </c>
      <c r="F228" s="41"/>
      <c r="G228" s="117" t="s">
        <v>35</v>
      </c>
      <c r="H228" s="117" t="s">
        <v>35</v>
      </c>
      <c r="I228" s="47"/>
      <c r="J228" s="49" t="s">
        <v>36</v>
      </c>
      <c r="K228" s="43"/>
      <c r="M228" s="30" t="str">
        <f t="shared" si="24"/>
        <v>,</v>
      </c>
      <c r="N228" s="32" t="str">
        <f t="shared" si="25"/>
        <v xml:space="preserve"> </v>
      </c>
    </row>
    <row r="229" spans="1:14">
      <c r="A229" s="45" t="str">
        <f t="shared" si="22"/>
        <v>SLEDcheckreq__,</v>
      </c>
      <c r="B229" s="46" t="str">
        <f t="shared" si="23"/>
        <v>SledRecreq__,</v>
      </c>
      <c r="C229" s="39" t="s">
        <v>38</v>
      </c>
      <c r="D229" s="40" t="s">
        <v>37</v>
      </c>
      <c r="F229" s="41"/>
      <c r="G229" s="117" t="s">
        <v>35</v>
      </c>
      <c r="H229" s="117" t="s">
        <v>35</v>
      </c>
      <c r="I229" s="47"/>
      <c r="J229" s="49" t="s">
        <v>36</v>
      </c>
      <c r="K229" s="43"/>
      <c r="M229" s="30" t="str">
        <f t="shared" si="24"/>
        <v>,</v>
      </c>
      <c r="N229" s="32" t="str">
        <f t="shared" si="25"/>
        <v xml:space="preserve"> </v>
      </c>
    </row>
    <row r="230" spans="1:14">
      <c r="A230" s="45" t="str">
        <f t="shared" si="22"/>
        <v>SLEDcheckreq__,</v>
      </c>
      <c r="B230" s="46" t="str">
        <f t="shared" si="23"/>
        <v>SledRecreq__,</v>
      </c>
      <c r="C230" s="39" t="s">
        <v>38</v>
      </c>
      <c r="D230" s="40" t="s">
        <v>37</v>
      </c>
      <c r="F230" s="41"/>
      <c r="G230" s="117" t="s">
        <v>35</v>
      </c>
      <c r="H230" s="117" t="s">
        <v>35</v>
      </c>
      <c r="I230" s="47"/>
      <c r="J230" s="49" t="s">
        <v>36</v>
      </c>
      <c r="K230" s="43"/>
      <c r="M230" s="30" t="str">
        <f t="shared" si="24"/>
        <v>,</v>
      </c>
      <c r="N230" s="32" t="str">
        <f t="shared" si="25"/>
        <v xml:space="preserve"> </v>
      </c>
    </row>
    <row r="231" spans="1:14">
      <c r="A231" s="45" t="str">
        <f t="shared" si="22"/>
        <v>SLEDcheckreq__,</v>
      </c>
      <c r="B231" s="46" t="str">
        <f t="shared" si="23"/>
        <v>SledRecreq__,</v>
      </c>
      <c r="C231" s="39" t="s">
        <v>38</v>
      </c>
      <c r="D231" s="40" t="s">
        <v>37</v>
      </c>
      <c r="F231" s="41"/>
      <c r="G231" s="117" t="s">
        <v>35</v>
      </c>
      <c r="H231" s="117" t="s">
        <v>35</v>
      </c>
      <c r="I231" s="47"/>
      <c r="J231" s="49" t="s">
        <v>36</v>
      </c>
      <c r="K231" s="43"/>
      <c r="M231" s="30" t="str">
        <f t="shared" si="24"/>
        <v>,</v>
      </c>
      <c r="N231" s="32" t="str">
        <f t="shared" si="25"/>
        <v xml:space="preserve"> </v>
      </c>
    </row>
    <row r="232" spans="1:14">
      <c r="A232" s="45" t="str">
        <f t="shared" si="22"/>
        <v>SLEDcheckreq__,</v>
      </c>
      <c r="B232" s="46" t="str">
        <f t="shared" si="23"/>
        <v>SledRecreq__,</v>
      </c>
      <c r="C232" s="39" t="s">
        <v>38</v>
      </c>
      <c r="D232" s="40" t="s">
        <v>37</v>
      </c>
      <c r="F232" s="41"/>
      <c r="G232" s="117" t="s">
        <v>35</v>
      </c>
      <c r="H232" s="117" t="s">
        <v>35</v>
      </c>
      <c r="I232" s="47"/>
      <c r="J232" s="49" t="s">
        <v>36</v>
      </c>
      <c r="K232" s="43"/>
      <c r="M232" s="30" t="str">
        <f t="shared" si="24"/>
        <v>,</v>
      </c>
      <c r="N232" s="32" t="str">
        <f t="shared" si="25"/>
        <v xml:space="preserve"> </v>
      </c>
    </row>
    <row r="233" spans="1:14">
      <c r="A233" s="45" t="str">
        <f t="shared" si="22"/>
        <v>SLEDcheckreq__,</v>
      </c>
      <c r="B233" s="46" t="str">
        <f t="shared" si="23"/>
        <v>SledRecreq__,</v>
      </c>
      <c r="C233" s="39" t="s">
        <v>38</v>
      </c>
      <c r="D233" s="40" t="s">
        <v>37</v>
      </c>
      <c r="F233" s="41"/>
      <c r="G233" s="117" t="s">
        <v>35</v>
      </c>
      <c r="H233" s="117" t="s">
        <v>35</v>
      </c>
      <c r="I233" s="47"/>
      <c r="J233" s="49" t="s">
        <v>36</v>
      </c>
      <c r="K233" s="43"/>
      <c r="M233" s="30" t="str">
        <f t="shared" si="24"/>
        <v>,</v>
      </c>
      <c r="N233" s="32" t="str">
        <f t="shared" si="25"/>
        <v xml:space="preserve"> </v>
      </c>
    </row>
    <row r="234" spans="1:14">
      <c r="A234" s="45" t="str">
        <f t="shared" si="22"/>
        <v>SLEDcheckreq__,</v>
      </c>
      <c r="B234" s="46" t="str">
        <f t="shared" si="23"/>
        <v>SledRecreq__,</v>
      </c>
      <c r="C234" s="39" t="s">
        <v>38</v>
      </c>
      <c r="D234" s="40" t="s">
        <v>37</v>
      </c>
      <c r="F234" s="41"/>
      <c r="G234" s="117" t="s">
        <v>35</v>
      </c>
      <c r="H234" s="117" t="s">
        <v>35</v>
      </c>
      <c r="I234" s="47"/>
      <c r="J234" s="49" t="s">
        <v>36</v>
      </c>
      <c r="K234" s="43"/>
      <c r="M234" s="30" t="str">
        <f t="shared" si="24"/>
        <v>,</v>
      </c>
      <c r="N234" s="32" t="str">
        <f t="shared" si="25"/>
        <v xml:space="preserve"> </v>
      </c>
    </row>
    <row r="235" spans="1:14">
      <c r="A235" s="45" t="str">
        <f t="shared" si="22"/>
        <v>SLEDcheckreq__,</v>
      </c>
      <c r="B235" s="46" t="str">
        <f t="shared" si="23"/>
        <v>SledRecreq__,</v>
      </c>
      <c r="C235" s="39" t="s">
        <v>38</v>
      </c>
      <c r="D235" s="40" t="s">
        <v>37</v>
      </c>
      <c r="F235" s="41"/>
      <c r="G235" s="117" t="s">
        <v>35</v>
      </c>
      <c r="H235" s="117" t="s">
        <v>35</v>
      </c>
      <c r="I235" s="47"/>
      <c r="J235" s="49" t="s">
        <v>36</v>
      </c>
      <c r="K235" s="43"/>
      <c r="M235" s="30" t="str">
        <f t="shared" si="24"/>
        <v>,</v>
      </c>
      <c r="N235" s="32" t="str">
        <f t="shared" si="25"/>
        <v xml:space="preserve"> </v>
      </c>
    </row>
    <row r="236" spans="1:14">
      <c r="A236" s="45" t="str">
        <f t="shared" si="22"/>
        <v>SLEDcheckreq__,</v>
      </c>
      <c r="B236" s="46" t="str">
        <f t="shared" si="23"/>
        <v>SledRecreq__,</v>
      </c>
      <c r="C236" s="39" t="s">
        <v>38</v>
      </c>
      <c r="D236" s="40" t="s">
        <v>37</v>
      </c>
      <c r="F236" s="41"/>
      <c r="G236" s="117" t="s">
        <v>35</v>
      </c>
      <c r="H236" s="117" t="s">
        <v>35</v>
      </c>
      <c r="I236" s="47"/>
      <c r="J236" s="49" t="s">
        <v>36</v>
      </c>
      <c r="K236" s="43"/>
      <c r="M236" s="30" t="str">
        <f t="shared" si="24"/>
        <v>,</v>
      </c>
      <c r="N236" s="32" t="str">
        <f t="shared" si="25"/>
        <v xml:space="preserve"> </v>
      </c>
    </row>
    <row r="237" spans="1:14">
      <c r="A237" s="45" t="str">
        <f t="shared" si="22"/>
        <v>SLEDcheckreq__,</v>
      </c>
      <c r="B237" s="46" t="str">
        <f t="shared" si="23"/>
        <v>SledRecreq__,</v>
      </c>
      <c r="C237" s="39" t="s">
        <v>38</v>
      </c>
      <c r="D237" s="40" t="s">
        <v>37</v>
      </c>
      <c r="F237" s="41"/>
      <c r="G237" s="117" t="s">
        <v>35</v>
      </c>
      <c r="H237" s="117" t="s">
        <v>35</v>
      </c>
      <c r="I237" s="47"/>
      <c r="J237" s="49" t="s">
        <v>36</v>
      </c>
      <c r="K237" s="43"/>
      <c r="M237" s="30" t="str">
        <f t="shared" si="24"/>
        <v>,</v>
      </c>
      <c r="N237" s="32" t="str">
        <f t="shared" si="25"/>
        <v xml:space="preserve"> </v>
      </c>
    </row>
    <row r="238" spans="1:14">
      <c r="A238" s="45" t="str">
        <f t="shared" si="22"/>
        <v>SLEDcheckreq__,</v>
      </c>
      <c r="B238" s="46" t="str">
        <f t="shared" si="23"/>
        <v>SledRecreq__,</v>
      </c>
      <c r="C238" s="39" t="s">
        <v>38</v>
      </c>
      <c r="D238" s="40" t="s">
        <v>37</v>
      </c>
      <c r="F238" s="41"/>
      <c r="G238" s="117" t="s">
        <v>35</v>
      </c>
      <c r="H238" s="117" t="s">
        <v>35</v>
      </c>
      <c r="I238" s="47"/>
      <c r="J238" s="49" t="s">
        <v>36</v>
      </c>
      <c r="K238" s="43"/>
      <c r="M238" s="30" t="str">
        <f t="shared" si="24"/>
        <v>,</v>
      </c>
      <c r="N238" s="32" t="str">
        <f t="shared" si="25"/>
        <v xml:space="preserve"> </v>
      </c>
    </row>
    <row r="239" spans="1:14">
      <c r="A239" s="45" t="str">
        <f t="shared" si="22"/>
        <v>SLEDcheckreq__,</v>
      </c>
      <c r="B239" s="46" t="str">
        <f t="shared" si="23"/>
        <v>SledRecreq__,</v>
      </c>
      <c r="C239" s="39" t="s">
        <v>38</v>
      </c>
      <c r="D239" s="40" t="s">
        <v>37</v>
      </c>
      <c r="F239" s="41"/>
      <c r="G239" s="117" t="s">
        <v>35</v>
      </c>
      <c r="H239" s="117" t="s">
        <v>35</v>
      </c>
      <c r="I239" s="47"/>
      <c r="J239" s="49" t="s">
        <v>36</v>
      </c>
      <c r="K239" s="43"/>
      <c r="M239" s="30" t="str">
        <f t="shared" si="24"/>
        <v>,</v>
      </c>
      <c r="N239" s="32" t="str">
        <f t="shared" si="25"/>
        <v xml:space="preserve"> </v>
      </c>
    </row>
    <row r="240" spans="1:14">
      <c r="A240" s="45" t="str">
        <f t="shared" si="22"/>
        <v>SLEDcheckreq__,</v>
      </c>
      <c r="B240" s="46" t="str">
        <f t="shared" si="23"/>
        <v>SledRecreq__,</v>
      </c>
      <c r="C240" s="39" t="s">
        <v>38</v>
      </c>
      <c r="D240" s="40" t="s">
        <v>37</v>
      </c>
      <c r="F240" s="41"/>
      <c r="G240" s="117" t="s">
        <v>35</v>
      </c>
      <c r="H240" s="117" t="s">
        <v>35</v>
      </c>
      <c r="I240" s="47"/>
      <c r="J240" s="49" t="s">
        <v>36</v>
      </c>
      <c r="K240" s="43"/>
      <c r="M240" s="30" t="str">
        <f t="shared" si="24"/>
        <v>,</v>
      </c>
      <c r="N240" s="32" t="str">
        <f t="shared" si="25"/>
        <v xml:space="preserve"> </v>
      </c>
    </row>
    <row r="241" spans="1:14">
      <c r="A241" s="45" t="str">
        <f t="shared" ref="A241:A304" si="26">CONCATENATE(D241,G241,F241,G241,I241,J241,K241)</f>
        <v>SLEDcheckreq__,</v>
      </c>
      <c r="B241" s="46" t="str">
        <f t="shared" ref="B241:B304" si="27">CONCATENATE(C241,H241,F241,H241,I241,J241,K241)</f>
        <v>SledRecreq__,</v>
      </c>
      <c r="C241" s="39" t="s">
        <v>38</v>
      </c>
      <c r="D241" s="40" t="s">
        <v>37</v>
      </c>
      <c r="F241" s="41"/>
      <c r="G241" s="117" t="s">
        <v>35</v>
      </c>
      <c r="H241" s="117" t="s">
        <v>35</v>
      </c>
      <c r="I241" s="47"/>
      <c r="J241" s="49" t="s">
        <v>36</v>
      </c>
      <c r="K241" s="43"/>
      <c r="M241" s="30" t="str">
        <f t="shared" ref="M241:M304" si="28">_xlfn.CONCAT(I241:K241)</f>
        <v>,</v>
      </c>
      <c r="N241" s="32" t="str">
        <f t="shared" ref="N241:N304" si="29">CONCATENATE(K241," ",I241)</f>
        <v xml:space="preserve"> </v>
      </c>
    </row>
    <row r="242" spans="1:14">
      <c r="A242" s="45" t="str">
        <f t="shared" si="26"/>
        <v>SLEDcheckreq__,</v>
      </c>
      <c r="B242" s="46" t="str">
        <f t="shared" si="27"/>
        <v>SledRecreq__,</v>
      </c>
      <c r="C242" s="39" t="s">
        <v>38</v>
      </c>
      <c r="D242" s="40" t="s">
        <v>37</v>
      </c>
      <c r="F242" s="41"/>
      <c r="G242" s="117" t="s">
        <v>35</v>
      </c>
      <c r="H242" s="117" t="s">
        <v>35</v>
      </c>
      <c r="I242" s="47"/>
      <c r="J242" s="49" t="s">
        <v>36</v>
      </c>
      <c r="K242" s="43"/>
      <c r="M242" s="30" t="str">
        <f t="shared" si="28"/>
        <v>,</v>
      </c>
      <c r="N242" s="32" t="str">
        <f t="shared" si="29"/>
        <v xml:space="preserve"> </v>
      </c>
    </row>
    <row r="243" spans="1:14">
      <c r="A243" s="45" t="str">
        <f t="shared" si="26"/>
        <v>SLEDcheckreq__,</v>
      </c>
      <c r="B243" s="46" t="str">
        <f t="shared" si="27"/>
        <v>SledRecreq__,</v>
      </c>
      <c r="C243" s="39" t="s">
        <v>38</v>
      </c>
      <c r="D243" s="40" t="s">
        <v>37</v>
      </c>
      <c r="F243" s="41"/>
      <c r="G243" s="117" t="s">
        <v>35</v>
      </c>
      <c r="H243" s="117" t="s">
        <v>35</v>
      </c>
      <c r="I243" s="47"/>
      <c r="J243" s="49" t="s">
        <v>36</v>
      </c>
      <c r="K243" s="43"/>
      <c r="M243" s="30" t="str">
        <f t="shared" si="28"/>
        <v>,</v>
      </c>
      <c r="N243" s="32" t="str">
        <f t="shared" si="29"/>
        <v xml:space="preserve"> </v>
      </c>
    </row>
    <row r="244" spans="1:14">
      <c r="A244" s="45" t="str">
        <f t="shared" si="26"/>
        <v>SLEDcheckreq__,</v>
      </c>
      <c r="B244" s="46" t="str">
        <f t="shared" si="27"/>
        <v>SledRecreq__,</v>
      </c>
      <c r="C244" s="39" t="s">
        <v>38</v>
      </c>
      <c r="D244" s="40" t="s">
        <v>37</v>
      </c>
      <c r="F244" s="41"/>
      <c r="G244" s="117" t="s">
        <v>35</v>
      </c>
      <c r="H244" s="117" t="s">
        <v>35</v>
      </c>
      <c r="I244" s="47"/>
      <c r="J244" s="49" t="s">
        <v>36</v>
      </c>
      <c r="K244" s="43"/>
      <c r="M244" s="30" t="str">
        <f t="shared" si="28"/>
        <v>,</v>
      </c>
      <c r="N244" s="32" t="str">
        <f t="shared" si="29"/>
        <v xml:space="preserve"> </v>
      </c>
    </row>
    <row r="245" spans="1:14">
      <c r="A245" s="45" t="str">
        <f t="shared" si="26"/>
        <v>SLEDcheckreq__,</v>
      </c>
      <c r="B245" s="46" t="str">
        <f t="shared" si="27"/>
        <v>SledRecreq__,</v>
      </c>
      <c r="C245" s="39" t="s">
        <v>38</v>
      </c>
      <c r="D245" s="40" t="s">
        <v>37</v>
      </c>
      <c r="F245" s="41"/>
      <c r="G245" s="117" t="s">
        <v>35</v>
      </c>
      <c r="H245" s="117" t="s">
        <v>35</v>
      </c>
      <c r="I245" s="47"/>
      <c r="J245" s="49" t="s">
        <v>36</v>
      </c>
      <c r="K245" s="43"/>
      <c r="M245" s="30" t="str">
        <f t="shared" si="28"/>
        <v>,</v>
      </c>
      <c r="N245" s="32" t="str">
        <f t="shared" si="29"/>
        <v xml:space="preserve"> </v>
      </c>
    </row>
    <row r="246" spans="1:14">
      <c r="A246" s="45" t="str">
        <f t="shared" si="26"/>
        <v>SLEDcheckreq__,</v>
      </c>
      <c r="B246" s="46" t="str">
        <f t="shared" si="27"/>
        <v>SledRecreq__,</v>
      </c>
      <c r="C246" s="39" t="s">
        <v>38</v>
      </c>
      <c r="D246" s="40" t="s">
        <v>37</v>
      </c>
      <c r="F246" s="41"/>
      <c r="G246" s="117" t="s">
        <v>35</v>
      </c>
      <c r="H246" s="117" t="s">
        <v>35</v>
      </c>
      <c r="I246" s="47"/>
      <c r="J246" s="49" t="s">
        <v>36</v>
      </c>
      <c r="K246" s="43"/>
      <c r="M246" s="30" t="str">
        <f t="shared" si="28"/>
        <v>,</v>
      </c>
      <c r="N246" s="32" t="str">
        <f t="shared" si="29"/>
        <v xml:space="preserve"> </v>
      </c>
    </row>
    <row r="247" spans="1:14">
      <c r="A247" s="45" t="str">
        <f t="shared" si="26"/>
        <v>SLEDcheckreq__,</v>
      </c>
      <c r="B247" s="46" t="str">
        <f t="shared" si="27"/>
        <v>SledRecreq__,</v>
      </c>
      <c r="C247" s="39" t="s">
        <v>38</v>
      </c>
      <c r="D247" s="40" t="s">
        <v>37</v>
      </c>
      <c r="F247" s="41"/>
      <c r="G247" s="117" t="s">
        <v>35</v>
      </c>
      <c r="H247" s="117" t="s">
        <v>35</v>
      </c>
      <c r="I247" s="47"/>
      <c r="J247" s="49" t="s">
        <v>36</v>
      </c>
      <c r="K247" s="43"/>
      <c r="M247" s="30" t="str">
        <f t="shared" si="28"/>
        <v>,</v>
      </c>
      <c r="N247" s="32" t="str">
        <f t="shared" si="29"/>
        <v xml:space="preserve"> </v>
      </c>
    </row>
    <row r="248" spans="1:14">
      <c r="A248" s="45" t="str">
        <f t="shared" si="26"/>
        <v>SLEDcheckreq__,</v>
      </c>
      <c r="B248" s="46" t="str">
        <f t="shared" si="27"/>
        <v>SledRecreq__,</v>
      </c>
      <c r="C248" s="39" t="s">
        <v>38</v>
      </c>
      <c r="D248" s="40" t="s">
        <v>37</v>
      </c>
      <c r="F248" s="41"/>
      <c r="G248" s="117" t="s">
        <v>35</v>
      </c>
      <c r="H248" s="117" t="s">
        <v>35</v>
      </c>
      <c r="I248" s="47"/>
      <c r="J248" s="49" t="s">
        <v>36</v>
      </c>
      <c r="K248" s="43"/>
      <c r="M248" s="30" t="str">
        <f t="shared" si="28"/>
        <v>,</v>
      </c>
      <c r="N248" s="32" t="str">
        <f t="shared" si="29"/>
        <v xml:space="preserve"> </v>
      </c>
    </row>
    <row r="249" spans="1:14">
      <c r="A249" s="45" t="str">
        <f t="shared" si="26"/>
        <v>SLEDcheckreq__,</v>
      </c>
      <c r="B249" s="46" t="str">
        <f t="shared" si="27"/>
        <v>SledRecreq__,</v>
      </c>
      <c r="C249" s="39" t="s">
        <v>38</v>
      </c>
      <c r="D249" s="40" t="s">
        <v>37</v>
      </c>
      <c r="F249" s="41"/>
      <c r="G249" s="117" t="s">
        <v>35</v>
      </c>
      <c r="H249" s="117" t="s">
        <v>35</v>
      </c>
      <c r="I249" s="47"/>
      <c r="J249" s="49" t="s">
        <v>36</v>
      </c>
      <c r="K249" s="43"/>
      <c r="M249" s="30" t="str">
        <f t="shared" si="28"/>
        <v>,</v>
      </c>
      <c r="N249" s="32" t="str">
        <f t="shared" si="29"/>
        <v xml:space="preserve"> </v>
      </c>
    </row>
    <row r="250" spans="1:14">
      <c r="A250" s="45" t="str">
        <f t="shared" si="26"/>
        <v>SLEDcheckreq__,</v>
      </c>
      <c r="B250" s="46" t="str">
        <f t="shared" si="27"/>
        <v>SledRecreq__,</v>
      </c>
      <c r="C250" s="39" t="s">
        <v>38</v>
      </c>
      <c r="D250" s="40" t="s">
        <v>37</v>
      </c>
      <c r="F250" s="41"/>
      <c r="G250" s="117" t="s">
        <v>35</v>
      </c>
      <c r="H250" s="117" t="s">
        <v>35</v>
      </c>
      <c r="I250" s="47"/>
      <c r="J250" s="49" t="s">
        <v>36</v>
      </c>
      <c r="K250" s="43"/>
      <c r="M250" s="30" t="str">
        <f t="shared" si="28"/>
        <v>,</v>
      </c>
      <c r="N250" s="32" t="str">
        <f t="shared" si="29"/>
        <v xml:space="preserve"> </v>
      </c>
    </row>
    <row r="251" spans="1:14">
      <c r="A251" s="45" t="str">
        <f t="shared" si="26"/>
        <v>SLEDcheckreq__,</v>
      </c>
      <c r="B251" s="46" t="str">
        <f t="shared" si="27"/>
        <v>SledRecreq__,</v>
      </c>
      <c r="C251" s="39" t="s">
        <v>38</v>
      </c>
      <c r="D251" s="40" t="s">
        <v>37</v>
      </c>
      <c r="F251" s="41"/>
      <c r="G251" s="117" t="s">
        <v>35</v>
      </c>
      <c r="H251" s="117" t="s">
        <v>35</v>
      </c>
      <c r="I251" s="47"/>
      <c r="J251" s="49" t="s">
        <v>36</v>
      </c>
      <c r="K251" s="43"/>
      <c r="M251" s="30" t="str">
        <f t="shared" si="28"/>
        <v>,</v>
      </c>
      <c r="N251" s="32" t="str">
        <f t="shared" si="29"/>
        <v xml:space="preserve"> </v>
      </c>
    </row>
    <row r="252" spans="1:14">
      <c r="A252" s="45" t="str">
        <f t="shared" si="26"/>
        <v>SLEDcheckreq__,</v>
      </c>
      <c r="B252" s="46" t="str">
        <f t="shared" si="27"/>
        <v>SledRecreq__,</v>
      </c>
      <c r="C252" s="39" t="s">
        <v>38</v>
      </c>
      <c r="D252" s="40" t="s">
        <v>37</v>
      </c>
      <c r="F252" s="41"/>
      <c r="G252" s="117" t="s">
        <v>35</v>
      </c>
      <c r="H252" s="117" t="s">
        <v>35</v>
      </c>
      <c r="I252" s="47"/>
      <c r="J252" s="49" t="s">
        <v>36</v>
      </c>
      <c r="K252" s="43"/>
      <c r="M252" s="30" t="str">
        <f t="shared" si="28"/>
        <v>,</v>
      </c>
      <c r="N252" s="32" t="str">
        <f t="shared" si="29"/>
        <v xml:space="preserve"> </v>
      </c>
    </row>
    <row r="253" spans="1:14">
      <c r="A253" s="45" t="str">
        <f t="shared" si="26"/>
        <v>SLEDcheckreq__,</v>
      </c>
      <c r="B253" s="46" t="str">
        <f t="shared" si="27"/>
        <v>SledRecreq__,</v>
      </c>
      <c r="C253" s="39" t="s">
        <v>38</v>
      </c>
      <c r="D253" s="40" t="s">
        <v>37</v>
      </c>
      <c r="F253" s="41"/>
      <c r="G253" s="117" t="s">
        <v>35</v>
      </c>
      <c r="H253" s="117" t="s">
        <v>35</v>
      </c>
      <c r="I253" s="47"/>
      <c r="J253" s="49" t="s">
        <v>36</v>
      </c>
      <c r="K253" s="43"/>
      <c r="M253" s="30" t="str">
        <f t="shared" si="28"/>
        <v>,</v>
      </c>
      <c r="N253" s="32" t="str">
        <f t="shared" si="29"/>
        <v xml:space="preserve"> </v>
      </c>
    </row>
    <row r="254" spans="1:14">
      <c r="A254" s="45" t="str">
        <f t="shared" si="26"/>
        <v>SLEDcheckreq__,</v>
      </c>
      <c r="B254" s="46" t="str">
        <f t="shared" si="27"/>
        <v>SledRecreq__,</v>
      </c>
      <c r="C254" s="39" t="s">
        <v>38</v>
      </c>
      <c r="D254" s="40" t="s">
        <v>37</v>
      </c>
      <c r="F254" s="41"/>
      <c r="G254" s="117" t="s">
        <v>35</v>
      </c>
      <c r="H254" s="117" t="s">
        <v>35</v>
      </c>
      <c r="I254" s="47"/>
      <c r="J254" s="49" t="s">
        <v>36</v>
      </c>
      <c r="K254" s="43"/>
      <c r="M254" s="30" t="str">
        <f t="shared" si="28"/>
        <v>,</v>
      </c>
      <c r="N254" s="32" t="str">
        <f t="shared" si="29"/>
        <v xml:space="preserve"> </v>
      </c>
    </row>
    <row r="255" spans="1:14">
      <c r="A255" s="45" t="str">
        <f t="shared" si="26"/>
        <v>SLEDcheckreq__,</v>
      </c>
      <c r="B255" s="46" t="str">
        <f t="shared" si="27"/>
        <v>SledRecreq__,</v>
      </c>
      <c r="C255" s="39" t="s">
        <v>38</v>
      </c>
      <c r="D255" s="40" t="s">
        <v>37</v>
      </c>
      <c r="F255" s="41"/>
      <c r="G255" s="117" t="s">
        <v>35</v>
      </c>
      <c r="H255" s="117" t="s">
        <v>35</v>
      </c>
      <c r="I255" s="47"/>
      <c r="J255" s="49" t="s">
        <v>36</v>
      </c>
      <c r="K255" s="43"/>
      <c r="M255" s="30" t="str">
        <f t="shared" si="28"/>
        <v>,</v>
      </c>
      <c r="N255" s="32" t="str">
        <f t="shared" si="29"/>
        <v xml:space="preserve"> </v>
      </c>
    </row>
    <row r="256" spans="1:14">
      <c r="A256" s="45" t="str">
        <f t="shared" si="26"/>
        <v>SLEDcheckreq__,</v>
      </c>
      <c r="B256" s="46" t="str">
        <f t="shared" si="27"/>
        <v>SledRecreq__,</v>
      </c>
      <c r="C256" s="39" t="s">
        <v>38</v>
      </c>
      <c r="D256" s="40" t="s">
        <v>37</v>
      </c>
      <c r="F256" s="41"/>
      <c r="G256" s="117" t="s">
        <v>35</v>
      </c>
      <c r="H256" s="117" t="s">
        <v>35</v>
      </c>
      <c r="I256" s="47"/>
      <c r="J256" s="49" t="s">
        <v>36</v>
      </c>
      <c r="K256" s="43"/>
      <c r="M256" s="30" t="str">
        <f t="shared" si="28"/>
        <v>,</v>
      </c>
      <c r="N256" s="32" t="str">
        <f t="shared" si="29"/>
        <v xml:space="preserve"> </v>
      </c>
    </row>
    <row r="257" spans="1:14">
      <c r="A257" s="45" t="str">
        <f t="shared" si="26"/>
        <v>SLEDcheckreq__,</v>
      </c>
      <c r="B257" s="46" t="str">
        <f t="shared" si="27"/>
        <v>SledRecreq__,</v>
      </c>
      <c r="C257" s="39" t="s">
        <v>38</v>
      </c>
      <c r="D257" s="40" t="s">
        <v>37</v>
      </c>
      <c r="F257" s="41"/>
      <c r="G257" s="117" t="s">
        <v>35</v>
      </c>
      <c r="H257" s="117" t="s">
        <v>35</v>
      </c>
      <c r="I257" s="47"/>
      <c r="J257" s="49" t="s">
        <v>36</v>
      </c>
      <c r="K257" s="43"/>
      <c r="M257" s="30" t="str">
        <f t="shared" si="28"/>
        <v>,</v>
      </c>
      <c r="N257" s="32" t="str">
        <f t="shared" si="29"/>
        <v xml:space="preserve"> </v>
      </c>
    </row>
    <row r="258" spans="1:14">
      <c r="A258" s="45" t="str">
        <f t="shared" si="26"/>
        <v>SLEDcheckreq__,</v>
      </c>
      <c r="B258" s="46" t="str">
        <f t="shared" si="27"/>
        <v>SledRecreq__,</v>
      </c>
      <c r="C258" s="39" t="s">
        <v>38</v>
      </c>
      <c r="D258" s="40" t="s">
        <v>37</v>
      </c>
      <c r="F258" s="41"/>
      <c r="G258" s="117" t="s">
        <v>35</v>
      </c>
      <c r="H258" s="117" t="s">
        <v>35</v>
      </c>
      <c r="I258" s="47"/>
      <c r="J258" s="49" t="s">
        <v>36</v>
      </c>
      <c r="K258" s="43"/>
      <c r="M258" s="30" t="str">
        <f t="shared" si="28"/>
        <v>,</v>
      </c>
      <c r="N258" s="32" t="str">
        <f t="shared" si="29"/>
        <v xml:space="preserve"> </v>
      </c>
    </row>
    <row r="259" spans="1:14">
      <c r="A259" s="45" t="str">
        <f t="shared" si="26"/>
        <v>SLEDcheckreq__,</v>
      </c>
      <c r="B259" s="46" t="str">
        <f t="shared" si="27"/>
        <v>SledRecreq__,</v>
      </c>
      <c r="C259" s="39" t="s">
        <v>38</v>
      </c>
      <c r="D259" s="40" t="s">
        <v>37</v>
      </c>
      <c r="F259" s="41"/>
      <c r="G259" s="117" t="s">
        <v>35</v>
      </c>
      <c r="H259" s="117" t="s">
        <v>35</v>
      </c>
      <c r="I259" s="47"/>
      <c r="J259" s="49" t="s">
        <v>36</v>
      </c>
      <c r="K259" s="43"/>
      <c r="M259" s="30" t="str">
        <f t="shared" si="28"/>
        <v>,</v>
      </c>
      <c r="N259" s="32" t="str">
        <f t="shared" si="29"/>
        <v xml:space="preserve"> </v>
      </c>
    </row>
    <row r="260" spans="1:14">
      <c r="A260" s="45" t="str">
        <f t="shared" si="26"/>
        <v>SLEDcheckreq__,</v>
      </c>
      <c r="B260" s="46" t="str">
        <f t="shared" si="27"/>
        <v>SledRecreq__,</v>
      </c>
      <c r="C260" s="39" t="s">
        <v>38</v>
      </c>
      <c r="D260" s="40" t="s">
        <v>37</v>
      </c>
      <c r="F260" s="41"/>
      <c r="G260" s="117" t="s">
        <v>35</v>
      </c>
      <c r="H260" s="117" t="s">
        <v>35</v>
      </c>
      <c r="I260" s="47"/>
      <c r="J260" s="49" t="s">
        <v>36</v>
      </c>
      <c r="K260" s="43"/>
      <c r="M260" s="30" t="str">
        <f t="shared" si="28"/>
        <v>,</v>
      </c>
      <c r="N260" s="32" t="str">
        <f t="shared" si="29"/>
        <v xml:space="preserve"> </v>
      </c>
    </row>
    <row r="261" spans="1:14">
      <c r="A261" s="45" t="str">
        <f t="shared" si="26"/>
        <v>SLEDcheckreq__,</v>
      </c>
      <c r="B261" s="46" t="str">
        <f t="shared" si="27"/>
        <v>SledRecreq__,</v>
      </c>
      <c r="C261" s="39" t="s">
        <v>38</v>
      </c>
      <c r="D261" s="40" t="s">
        <v>37</v>
      </c>
      <c r="F261" s="41"/>
      <c r="G261" s="117" t="s">
        <v>35</v>
      </c>
      <c r="H261" s="117" t="s">
        <v>35</v>
      </c>
      <c r="I261" s="47"/>
      <c r="J261" s="49" t="s">
        <v>36</v>
      </c>
      <c r="K261" s="43"/>
      <c r="M261" s="30" t="str">
        <f t="shared" si="28"/>
        <v>,</v>
      </c>
      <c r="N261" s="32" t="str">
        <f t="shared" si="29"/>
        <v xml:space="preserve"> </v>
      </c>
    </row>
    <row r="262" spans="1:14">
      <c r="A262" s="45" t="str">
        <f t="shared" si="26"/>
        <v>SLEDcheckreq__,</v>
      </c>
      <c r="B262" s="46" t="str">
        <f t="shared" si="27"/>
        <v>SledRecreq__,</v>
      </c>
      <c r="C262" s="39" t="s">
        <v>38</v>
      </c>
      <c r="D262" s="40" t="s">
        <v>37</v>
      </c>
      <c r="F262" s="41"/>
      <c r="G262" s="117" t="s">
        <v>35</v>
      </c>
      <c r="H262" s="117" t="s">
        <v>35</v>
      </c>
      <c r="I262" s="47"/>
      <c r="J262" s="49" t="s">
        <v>36</v>
      </c>
      <c r="K262" s="43"/>
      <c r="M262" s="30" t="str">
        <f t="shared" si="28"/>
        <v>,</v>
      </c>
      <c r="N262" s="32" t="str">
        <f t="shared" si="29"/>
        <v xml:space="preserve"> </v>
      </c>
    </row>
    <row r="263" spans="1:14">
      <c r="A263" s="45" t="str">
        <f t="shared" si="26"/>
        <v>SLEDcheckreq__,</v>
      </c>
      <c r="B263" s="46" t="str">
        <f t="shared" si="27"/>
        <v>SledRecreq__,</v>
      </c>
      <c r="C263" s="39" t="s">
        <v>38</v>
      </c>
      <c r="D263" s="40" t="s">
        <v>37</v>
      </c>
      <c r="F263" s="41"/>
      <c r="G263" s="117" t="s">
        <v>35</v>
      </c>
      <c r="H263" s="117" t="s">
        <v>35</v>
      </c>
      <c r="I263" s="47"/>
      <c r="J263" s="49" t="s">
        <v>36</v>
      </c>
      <c r="K263" s="43"/>
      <c r="M263" s="30" t="str">
        <f t="shared" si="28"/>
        <v>,</v>
      </c>
      <c r="N263" s="32" t="str">
        <f t="shared" si="29"/>
        <v xml:space="preserve"> </v>
      </c>
    </row>
    <row r="264" spans="1:14">
      <c r="A264" s="45" t="str">
        <f t="shared" si="26"/>
        <v>SLEDcheckreq__,</v>
      </c>
      <c r="B264" s="46" t="str">
        <f t="shared" si="27"/>
        <v>SledRecreq__,</v>
      </c>
      <c r="C264" s="39" t="s">
        <v>38</v>
      </c>
      <c r="D264" s="40" t="s">
        <v>37</v>
      </c>
      <c r="F264" s="41"/>
      <c r="G264" s="117" t="s">
        <v>35</v>
      </c>
      <c r="H264" s="117" t="s">
        <v>35</v>
      </c>
      <c r="I264" s="47"/>
      <c r="J264" s="49" t="s">
        <v>36</v>
      </c>
      <c r="K264" s="43"/>
      <c r="M264" s="30" t="str">
        <f t="shared" si="28"/>
        <v>,</v>
      </c>
      <c r="N264" s="32" t="str">
        <f t="shared" si="29"/>
        <v xml:space="preserve"> </v>
      </c>
    </row>
    <row r="265" spans="1:14">
      <c r="A265" s="45" t="str">
        <f t="shared" si="26"/>
        <v>SLEDcheckreq__,</v>
      </c>
      <c r="B265" s="46" t="str">
        <f t="shared" si="27"/>
        <v>SledRecreq__,</v>
      </c>
      <c r="C265" s="39" t="s">
        <v>38</v>
      </c>
      <c r="D265" s="40" t="s">
        <v>37</v>
      </c>
      <c r="F265" s="41"/>
      <c r="G265" s="117" t="s">
        <v>35</v>
      </c>
      <c r="H265" s="117" t="s">
        <v>35</v>
      </c>
      <c r="I265" s="47"/>
      <c r="J265" s="49" t="s">
        <v>36</v>
      </c>
      <c r="K265" s="43"/>
      <c r="M265" s="30" t="str">
        <f t="shared" si="28"/>
        <v>,</v>
      </c>
      <c r="N265" s="32" t="str">
        <f t="shared" si="29"/>
        <v xml:space="preserve"> </v>
      </c>
    </row>
    <row r="266" spans="1:14">
      <c r="A266" s="45" t="str">
        <f t="shared" si="26"/>
        <v>SLEDcheckreq__,</v>
      </c>
      <c r="B266" s="46" t="str">
        <f t="shared" si="27"/>
        <v>SledRecreq__,</v>
      </c>
      <c r="C266" s="39" t="s">
        <v>38</v>
      </c>
      <c r="D266" s="40" t="s">
        <v>37</v>
      </c>
      <c r="F266" s="41"/>
      <c r="G266" s="117" t="s">
        <v>35</v>
      </c>
      <c r="H266" s="117" t="s">
        <v>35</v>
      </c>
      <c r="I266" s="47"/>
      <c r="J266" s="49" t="s">
        <v>36</v>
      </c>
      <c r="K266" s="43"/>
      <c r="M266" s="30" t="str">
        <f t="shared" si="28"/>
        <v>,</v>
      </c>
      <c r="N266" s="32" t="str">
        <f t="shared" si="29"/>
        <v xml:space="preserve"> </v>
      </c>
    </row>
    <row r="267" spans="1:14">
      <c r="A267" s="45" t="str">
        <f t="shared" si="26"/>
        <v>SLEDcheckreq__,</v>
      </c>
      <c r="B267" s="46" t="str">
        <f t="shared" si="27"/>
        <v>SledRecreq__,</v>
      </c>
      <c r="C267" s="39" t="s">
        <v>38</v>
      </c>
      <c r="D267" s="40" t="s">
        <v>37</v>
      </c>
      <c r="F267" s="41"/>
      <c r="G267" s="117" t="s">
        <v>35</v>
      </c>
      <c r="H267" s="117" t="s">
        <v>35</v>
      </c>
      <c r="I267" s="47"/>
      <c r="J267" s="49" t="s">
        <v>36</v>
      </c>
      <c r="K267" s="43"/>
      <c r="M267" s="30" t="str">
        <f t="shared" si="28"/>
        <v>,</v>
      </c>
      <c r="N267" s="32" t="str">
        <f t="shared" si="29"/>
        <v xml:space="preserve"> </v>
      </c>
    </row>
    <row r="268" spans="1:14">
      <c r="A268" s="45" t="str">
        <f t="shared" si="26"/>
        <v>SLEDcheckreq__,</v>
      </c>
      <c r="B268" s="46" t="str">
        <f t="shared" si="27"/>
        <v>SledRecreq__,</v>
      </c>
      <c r="C268" s="39" t="s">
        <v>38</v>
      </c>
      <c r="D268" s="40" t="s">
        <v>37</v>
      </c>
      <c r="F268" s="41"/>
      <c r="G268" s="117" t="s">
        <v>35</v>
      </c>
      <c r="H268" s="117" t="s">
        <v>35</v>
      </c>
      <c r="I268" s="47"/>
      <c r="J268" s="49" t="s">
        <v>36</v>
      </c>
      <c r="K268" s="43"/>
      <c r="M268" s="30" t="str">
        <f t="shared" si="28"/>
        <v>,</v>
      </c>
      <c r="N268" s="32" t="str">
        <f t="shared" si="29"/>
        <v xml:space="preserve"> </v>
      </c>
    </row>
    <row r="269" spans="1:14">
      <c r="A269" s="45" t="str">
        <f t="shared" si="26"/>
        <v>SLEDcheckreq__,</v>
      </c>
      <c r="B269" s="46" t="str">
        <f t="shared" si="27"/>
        <v>SledRecreq__,</v>
      </c>
      <c r="C269" s="39" t="s">
        <v>38</v>
      </c>
      <c r="D269" s="40" t="s">
        <v>37</v>
      </c>
      <c r="F269" s="41"/>
      <c r="G269" s="117" t="s">
        <v>35</v>
      </c>
      <c r="H269" s="117" t="s">
        <v>35</v>
      </c>
      <c r="I269" s="47"/>
      <c r="J269" s="49" t="s">
        <v>36</v>
      </c>
      <c r="K269" s="43"/>
      <c r="M269" s="30" t="str">
        <f t="shared" si="28"/>
        <v>,</v>
      </c>
      <c r="N269" s="32" t="str">
        <f t="shared" si="29"/>
        <v xml:space="preserve"> </v>
      </c>
    </row>
    <row r="270" spans="1:14">
      <c r="A270" s="45" t="str">
        <f t="shared" si="26"/>
        <v>SLEDcheckreq__,</v>
      </c>
      <c r="B270" s="46" t="str">
        <f t="shared" si="27"/>
        <v>SledRecreq__,</v>
      </c>
      <c r="C270" s="39" t="s">
        <v>38</v>
      </c>
      <c r="D270" s="40" t="s">
        <v>37</v>
      </c>
      <c r="F270" s="41"/>
      <c r="G270" s="117" t="s">
        <v>35</v>
      </c>
      <c r="H270" s="117" t="s">
        <v>35</v>
      </c>
      <c r="I270" s="47"/>
      <c r="J270" s="49" t="s">
        <v>36</v>
      </c>
      <c r="K270" s="43"/>
      <c r="M270" s="30" t="str">
        <f t="shared" si="28"/>
        <v>,</v>
      </c>
      <c r="N270" s="32" t="str">
        <f t="shared" si="29"/>
        <v xml:space="preserve"> </v>
      </c>
    </row>
    <row r="271" spans="1:14">
      <c r="A271" s="45" t="str">
        <f t="shared" si="26"/>
        <v>SLEDcheckreq__,</v>
      </c>
      <c r="B271" s="46" t="str">
        <f t="shared" si="27"/>
        <v>SledRecreq__,</v>
      </c>
      <c r="C271" s="39" t="s">
        <v>38</v>
      </c>
      <c r="D271" s="40" t="s">
        <v>37</v>
      </c>
      <c r="F271" s="41"/>
      <c r="G271" s="117" t="s">
        <v>35</v>
      </c>
      <c r="H271" s="117" t="s">
        <v>35</v>
      </c>
      <c r="I271" s="47"/>
      <c r="J271" s="49" t="s">
        <v>36</v>
      </c>
      <c r="K271" s="43"/>
      <c r="M271" s="30" t="str">
        <f t="shared" si="28"/>
        <v>,</v>
      </c>
      <c r="N271" s="32" t="str">
        <f t="shared" si="29"/>
        <v xml:space="preserve"> </v>
      </c>
    </row>
    <row r="272" spans="1:14">
      <c r="A272" s="45" t="str">
        <f t="shared" si="26"/>
        <v>SLEDcheckreq__,</v>
      </c>
      <c r="B272" s="46" t="str">
        <f t="shared" si="27"/>
        <v>SledRecreq__,</v>
      </c>
      <c r="C272" s="39" t="s">
        <v>38</v>
      </c>
      <c r="D272" s="40" t="s">
        <v>37</v>
      </c>
      <c r="F272" s="41"/>
      <c r="G272" s="117" t="s">
        <v>35</v>
      </c>
      <c r="H272" s="117" t="s">
        <v>35</v>
      </c>
      <c r="I272" s="47"/>
      <c r="J272" s="49" t="s">
        <v>36</v>
      </c>
      <c r="K272" s="43"/>
      <c r="M272" s="30" t="str">
        <f t="shared" si="28"/>
        <v>,</v>
      </c>
      <c r="N272" s="32" t="str">
        <f t="shared" si="29"/>
        <v xml:space="preserve"> </v>
      </c>
    </row>
    <row r="273" spans="1:14">
      <c r="A273" s="45" t="str">
        <f t="shared" si="26"/>
        <v>SLEDcheckreq__,</v>
      </c>
      <c r="B273" s="46" t="str">
        <f t="shared" si="27"/>
        <v>SledRecreq__,</v>
      </c>
      <c r="C273" s="39" t="s">
        <v>38</v>
      </c>
      <c r="D273" s="40" t="s">
        <v>37</v>
      </c>
      <c r="F273" s="41"/>
      <c r="G273" s="117" t="s">
        <v>35</v>
      </c>
      <c r="H273" s="117" t="s">
        <v>35</v>
      </c>
      <c r="I273" s="47"/>
      <c r="J273" s="49" t="s">
        <v>36</v>
      </c>
      <c r="K273" s="43"/>
      <c r="M273" s="30" t="str">
        <f t="shared" si="28"/>
        <v>,</v>
      </c>
      <c r="N273" s="32" t="str">
        <f t="shared" si="29"/>
        <v xml:space="preserve"> </v>
      </c>
    </row>
    <row r="274" spans="1:14">
      <c r="A274" s="45" t="str">
        <f t="shared" si="26"/>
        <v>SLEDcheckreq__,</v>
      </c>
      <c r="B274" s="46" t="str">
        <f t="shared" si="27"/>
        <v>SledRecreq__,</v>
      </c>
      <c r="C274" s="39" t="s">
        <v>38</v>
      </c>
      <c r="D274" s="40" t="s">
        <v>37</v>
      </c>
      <c r="F274" s="41"/>
      <c r="G274" s="117" t="s">
        <v>35</v>
      </c>
      <c r="H274" s="117" t="s">
        <v>35</v>
      </c>
      <c r="I274" s="47"/>
      <c r="J274" s="49" t="s">
        <v>36</v>
      </c>
      <c r="K274" s="43"/>
      <c r="M274" s="30" t="str">
        <f t="shared" si="28"/>
        <v>,</v>
      </c>
      <c r="N274" s="32" t="str">
        <f t="shared" si="29"/>
        <v xml:space="preserve"> </v>
      </c>
    </row>
    <row r="275" spans="1:14">
      <c r="A275" s="45" t="str">
        <f t="shared" si="26"/>
        <v>SLEDcheckreq__,</v>
      </c>
      <c r="B275" s="46" t="str">
        <f t="shared" si="27"/>
        <v>SledRecreq__,</v>
      </c>
      <c r="C275" s="39" t="s">
        <v>38</v>
      </c>
      <c r="D275" s="40" t="s">
        <v>37</v>
      </c>
      <c r="F275" s="41"/>
      <c r="G275" s="117" t="s">
        <v>35</v>
      </c>
      <c r="H275" s="117" t="s">
        <v>35</v>
      </c>
      <c r="I275" s="47"/>
      <c r="J275" s="49" t="s">
        <v>36</v>
      </c>
      <c r="K275" s="43"/>
      <c r="M275" s="30" t="str">
        <f t="shared" si="28"/>
        <v>,</v>
      </c>
      <c r="N275" s="32" t="str">
        <f t="shared" si="29"/>
        <v xml:space="preserve"> </v>
      </c>
    </row>
    <row r="276" spans="1:14">
      <c r="A276" s="45" t="str">
        <f t="shared" si="26"/>
        <v>SLEDcheckreq__,</v>
      </c>
      <c r="B276" s="46" t="str">
        <f t="shared" si="27"/>
        <v>SledRecreq__,</v>
      </c>
      <c r="C276" s="39" t="s">
        <v>38</v>
      </c>
      <c r="D276" s="40" t="s">
        <v>37</v>
      </c>
      <c r="F276" s="41"/>
      <c r="G276" s="117" t="s">
        <v>35</v>
      </c>
      <c r="H276" s="117" t="s">
        <v>35</v>
      </c>
      <c r="I276" s="47"/>
      <c r="J276" s="49" t="s">
        <v>36</v>
      </c>
      <c r="K276" s="43"/>
      <c r="M276" s="30" t="str">
        <f t="shared" si="28"/>
        <v>,</v>
      </c>
      <c r="N276" s="32" t="str">
        <f t="shared" si="29"/>
        <v xml:space="preserve"> </v>
      </c>
    </row>
    <row r="277" spans="1:14">
      <c r="A277" s="45" t="str">
        <f t="shared" si="26"/>
        <v>SLEDcheckreq__,</v>
      </c>
      <c r="B277" s="46" t="str">
        <f t="shared" si="27"/>
        <v>SledRecreq__,</v>
      </c>
      <c r="C277" s="39" t="s">
        <v>38</v>
      </c>
      <c r="D277" s="40" t="s">
        <v>37</v>
      </c>
      <c r="F277" s="41"/>
      <c r="G277" s="117" t="s">
        <v>35</v>
      </c>
      <c r="H277" s="117" t="s">
        <v>35</v>
      </c>
      <c r="I277" s="47"/>
      <c r="J277" s="49" t="s">
        <v>36</v>
      </c>
      <c r="K277" s="43"/>
      <c r="M277" s="30" t="str">
        <f t="shared" si="28"/>
        <v>,</v>
      </c>
      <c r="N277" s="32" t="str">
        <f t="shared" si="29"/>
        <v xml:space="preserve"> </v>
      </c>
    </row>
    <row r="278" spans="1:14">
      <c r="A278" s="45" t="str">
        <f t="shared" si="26"/>
        <v>SLEDcheckreq__,</v>
      </c>
      <c r="B278" s="46" t="str">
        <f t="shared" si="27"/>
        <v>SledRecreq__,</v>
      </c>
      <c r="C278" s="39" t="s">
        <v>38</v>
      </c>
      <c r="D278" s="40" t="s">
        <v>37</v>
      </c>
      <c r="F278" s="41"/>
      <c r="G278" s="117" t="s">
        <v>35</v>
      </c>
      <c r="H278" s="117" t="s">
        <v>35</v>
      </c>
      <c r="I278" s="47"/>
      <c r="J278" s="49" t="s">
        <v>36</v>
      </c>
      <c r="K278" s="43"/>
      <c r="M278" s="30" t="str">
        <f t="shared" si="28"/>
        <v>,</v>
      </c>
      <c r="N278" s="32" t="str">
        <f t="shared" si="29"/>
        <v xml:space="preserve"> </v>
      </c>
    </row>
    <row r="279" spans="1:14">
      <c r="A279" s="45" t="str">
        <f t="shared" si="26"/>
        <v>SLEDcheckreq__,</v>
      </c>
      <c r="B279" s="46" t="str">
        <f t="shared" si="27"/>
        <v>SledRecreq__,</v>
      </c>
      <c r="C279" s="39" t="s">
        <v>38</v>
      </c>
      <c r="D279" s="40" t="s">
        <v>37</v>
      </c>
      <c r="F279" s="41"/>
      <c r="G279" s="117" t="s">
        <v>35</v>
      </c>
      <c r="H279" s="117" t="s">
        <v>35</v>
      </c>
      <c r="I279" s="47"/>
      <c r="J279" s="49" t="s">
        <v>36</v>
      </c>
      <c r="K279" s="43"/>
      <c r="M279" s="30" t="str">
        <f t="shared" si="28"/>
        <v>,</v>
      </c>
      <c r="N279" s="32" t="str">
        <f t="shared" si="29"/>
        <v xml:space="preserve"> </v>
      </c>
    </row>
    <row r="280" spans="1:14">
      <c r="A280" s="45" t="str">
        <f t="shared" si="26"/>
        <v>SLEDcheckreq__,</v>
      </c>
      <c r="B280" s="46" t="str">
        <f t="shared" si="27"/>
        <v>SledRecreq__,</v>
      </c>
      <c r="C280" s="39" t="s">
        <v>38</v>
      </c>
      <c r="D280" s="40" t="s">
        <v>37</v>
      </c>
      <c r="F280" s="41"/>
      <c r="G280" s="117" t="s">
        <v>35</v>
      </c>
      <c r="H280" s="117" t="s">
        <v>35</v>
      </c>
      <c r="I280" s="47"/>
      <c r="J280" s="49" t="s">
        <v>36</v>
      </c>
      <c r="K280" s="43"/>
      <c r="M280" s="30" t="str">
        <f t="shared" si="28"/>
        <v>,</v>
      </c>
      <c r="N280" s="32" t="str">
        <f t="shared" si="29"/>
        <v xml:space="preserve"> </v>
      </c>
    </row>
    <row r="281" spans="1:14">
      <c r="A281" s="45" t="str">
        <f t="shared" si="26"/>
        <v>SLEDcheckreq__,</v>
      </c>
      <c r="B281" s="46" t="str">
        <f t="shared" si="27"/>
        <v>SledRecreq__,</v>
      </c>
      <c r="C281" s="39" t="s">
        <v>38</v>
      </c>
      <c r="D281" s="40" t="s">
        <v>37</v>
      </c>
      <c r="F281" s="41"/>
      <c r="G281" s="117" t="s">
        <v>35</v>
      </c>
      <c r="H281" s="117" t="s">
        <v>35</v>
      </c>
      <c r="I281" s="47"/>
      <c r="J281" s="49" t="s">
        <v>36</v>
      </c>
      <c r="K281" s="43"/>
      <c r="M281" s="30" t="str">
        <f t="shared" si="28"/>
        <v>,</v>
      </c>
      <c r="N281" s="32" t="str">
        <f t="shared" si="29"/>
        <v xml:space="preserve"> </v>
      </c>
    </row>
    <row r="282" spans="1:14">
      <c r="A282" s="45" t="str">
        <f t="shared" si="26"/>
        <v>SLEDcheckreq__,</v>
      </c>
      <c r="B282" s="46" t="str">
        <f t="shared" si="27"/>
        <v>SledRecreq__,</v>
      </c>
      <c r="C282" s="39" t="s">
        <v>38</v>
      </c>
      <c r="D282" s="40" t="s">
        <v>37</v>
      </c>
      <c r="F282" s="41"/>
      <c r="G282" s="117" t="s">
        <v>35</v>
      </c>
      <c r="H282" s="117" t="s">
        <v>35</v>
      </c>
      <c r="I282" s="47"/>
      <c r="J282" s="49" t="s">
        <v>36</v>
      </c>
      <c r="K282" s="43"/>
      <c r="M282" s="30" t="str">
        <f t="shared" si="28"/>
        <v>,</v>
      </c>
      <c r="N282" s="32" t="str">
        <f t="shared" si="29"/>
        <v xml:space="preserve"> </v>
      </c>
    </row>
    <row r="283" spans="1:14">
      <c r="A283" s="45" t="str">
        <f t="shared" si="26"/>
        <v>SLEDcheckreq__,</v>
      </c>
      <c r="B283" s="46" t="str">
        <f t="shared" si="27"/>
        <v>SledRecreq__,</v>
      </c>
      <c r="C283" s="39" t="s">
        <v>38</v>
      </c>
      <c r="D283" s="40" t="s">
        <v>37</v>
      </c>
      <c r="F283" s="41"/>
      <c r="G283" s="117" t="s">
        <v>35</v>
      </c>
      <c r="H283" s="117" t="s">
        <v>35</v>
      </c>
      <c r="I283" s="47"/>
      <c r="J283" s="49" t="s">
        <v>36</v>
      </c>
      <c r="K283" s="43"/>
      <c r="M283" s="30" t="str">
        <f t="shared" si="28"/>
        <v>,</v>
      </c>
      <c r="N283" s="32" t="str">
        <f t="shared" si="29"/>
        <v xml:space="preserve"> </v>
      </c>
    </row>
    <row r="284" spans="1:14">
      <c r="A284" s="45" t="str">
        <f t="shared" si="26"/>
        <v>SLEDcheckreq__,</v>
      </c>
      <c r="B284" s="46" t="str">
        <f t="shared" si="27"/>
        <v>SledRecreq__,</v>
      </c>
      <c r="C284" s="39" t="s">
        <v>38</v>
      </c>
      <c r="D284" s="40" t="s">
        <v>37</v>
      </c>
      <c r="F284" s="41"/>
      <c r="G284" s="117" t="s">
        <v>35</v>
      </c>
      <c r="H284" s="117" t="s">
        <v>35</v>
      </c>
      <c r="I284" s="47"/>
      <c r="J284" s="49" t="s">
        <v>36</v>
      </c>
      <c r="K284" s="43"/>
      <c r="M284" s="30" t="str">
        <f t="shared" si="28"/>
        <v>,</v>
      </c>
      <c r="N284" s="32" t="str">
        <f t="shared" si="29"/>
        <v xml:space="preserve"> </v>
      </c>
    </row>
    <row r="285" spans="1:14">
      <c r="A285" s="45" t="str">
        <f t="shared" si="26"/>
        <v>SLEDcheckreq__,</v>
      </c>
      <c r="B285" s="46" t="str">
        <f t="shared" si="27"/>
        <v>SledRecreq__,</v>
      </c>
      <c r="C285" s="39" t="s">
        <v>38</v>
      </c>
      <c r="D285" s="40" t="s">
        <v>37</v>
      </c>
      <c r="F285" s="41"/>
      <c r="G285" s="117" t="s">
        <v>35</v>
      </c>
      <c r="H285" s="117" t="s">
        <v>35</v>
      </c>
      <c r="I285" s="47"/>
      <c r="J285" s="49" t="s">
        <v>36</v>
      </c>
      <c r="K285" s="43"/>
      <c r="M285" s="30" t="str">
        <f t="shared" si="28"/>
        <v>,</v>
      </c>
      <c r="N285" s="32" t="str">
        <f t="shared" si="29"/>
        <v xml:space="preserve"> </v>
      </c>
    </row>
    <row r="286" spans="1:14">
      <c r="A286" s="45" t="str">
        <f t="shared" si="26"/>
        <v>SLEDcheckreq__,</v>
      </c>
      <c r="B286" s="46" t="str">
        <f t="shared" si="27"/>
        <v>SledRecreq__,</v>
      </c>
      <c r="C286" s="39" t="s">
        <v>38</v>
      </c>
      <c r="D286" s="40" t="s">
        <v>37</v>
      </c>
      <c r="F286" s="41"/>
      <c r="G286" s="117" t="s">
        <v>35</v>
      </c>
      <c r="H286" s="117" t="s">
        <v>35</v>
      </c>
      <c r="I286" s="47"/>
      <c r="J286" s="49" t="s">
        <v>36</v>
      </c>
      <c r="K286" s="43"/>
      <c r="M286" s="30" t="str">
        <f t="shared" si="28"/>
        <v>,</v>
      </c>
      <c r="N286" s="32" t="str">
        <f t="shared" si="29"/>
        <v xml:space="preserve"> </v>
      </c>
    </row>
    <row r="287" spans="1:14">
      <c r="A287" s="45" t="str">
        <f t="shared" si="26"/>
        <v>SLEDcheckreq__,</v>
      </c>
      <c r="B287" s="46" t="str">
        <f t="shared" si="27"/>
        <v>SledRecreq__,</v>
      </c>
      <c r="C287" s="39" t="s">
        <v>38</v>
      </c>
      <c r="D287" s="40" t="s">
        <v>37</v>
      </c>
      <c r="F287" s="41"/>
      <c r="G287" s="117" t="s">
        <v>35</v>
      </c>
      <c r="H287" s="117" t="s">
        <v>35</v>
      </c>
      <c r="I287" s="47"/>
      <c r="J287" s="49" t="s">
        <v>36</v>
      </c>
      <c r="K287" s="43"/>
      <c r="M287" s="30" t="str">
        <f t="shared" si="28"/>
        <v>,</v>
      </c>
      <c r="N287" s="32" t="str">
        <f t="shared" si="29"/>
        <v xml:space="preserve"> </v>
      </c>
    </row>
    <row r="288" spans="1:14">
      <c r="A288" s="45" t="str">
        <f t="shared" si="26"/>
        <v>SLEDcheckreq__,</v>
      </c>
      <c r="B288" s="46" t="str">
        <f t="shared" si="27"/>
        <v>SledRecreq__,</v>
      </c>
      <c r="C288" s="39" t="s">
        <v>38</v>
      </c>
      <c r="D288" s="40" t="s">
        <v>37</v>
      </c>
      <c r="F288" s="41"/>
      <c r="G288" s="117" t="s">
        <v>35</v>
      </c>
      <c r="H288" s="117" t="s">
        <v>35</v>
      </c>
      <c r="I288" s="47"/>
      <c r="J288" s="49" t="s">
        <v>36</v>
      </c>
      <c r="K288" s="43"/>
      <c r="M288" s="30" t="str">
        <f t="shared" si="28"/>
        <v>,</v>
      </c>
      <c r="N288" s="32" t="str">
        <f t="shared" si="29"/>
        <v xml:space="preserve"> </v>
      </c>
    </row>
    <row r="289" spans="1:14">
      <c r="A289" s="45" t="str">
        <f t="shared" si="26"/>
        <v>SLEDcheckreq__,</v>
      </c>
      <c r="B289" s="46" t="str">
        <f t="shared" si="27"/>
        <v>SledRecreq__,</v>
      </c>
      <c r="C289" s="39" t="s">
        <v>38</v>
      </c>
      <c r="D289" s="40" t="s">
        <v>37</v>
      </c>
      <c r="F289" s="41"/>
      <c r="G289" s="117" t="s">
        <v>35</v>
      </c>
      <c r="H289" s="117" t="s">
        <v>35</v>
      </c>
      <c r="I289" s="47"/>
      <c r="J289" s="49" t="s">
        <v>36</v>
      </c>
      <c r="K289" s="43"/>
      <c r="M289" s="30" t="str">
        <f t="shared" si="28"/>
        <v>,</v>
      </c>
      <c r="N289" s="32" t="str">
        <f t="shared" si="29"/>
        <v xml:space="preserve"> </v>
      </c>
    </row>
    <row r="290" spans="1:14">
      <c r="A290" s="45" t="str">
        <f t="shared" si="26"/>
        <v>SLEDcheckreq__,</v>
      </c>
      <c r="B290" s="46" t="str">
        <f t="shared" si="27"/>
        <v>SledRecreq__,</v>
      </c>
      <c r="C290" s="39" t="s">
        <v>38</v>
      </c>
      <c r="D290" s="40" t="s">
        <v>37</v>
      </c>
      <c r="F290" s="41"/>
      <c r="G290" s="117" t="s">
        <v>35</v>
      </c>
      <c r="H290" s="117" t="s">
        <v>35</v>
      </c>
      <c r="I290" s="47"/>
      <c r="J290" s="49" t="s">
        <v>36</v>
      </c>
      <c r="K290" s="43"/>
      <c r="M290" s="30" t="str">
        <f t="shared" si="28"/>
        <v>,</v>
      </c>
      <c r="N290" s="32" t="str">
        <f t="shared" si="29"/>
        <v xml:space="preserve"> </v>
      </c>
    </row>
    <row r="291" spans="1:14">
      <c r="A291" s="45" t="str">
        <f t="shared" si="26"/>
        <v>SLEDcheckreq__,</v>
      </c>
      <c r="B291" s="46" t="str">
        <f t="shared" si="27"/>
        <v>SledRecreq__,</v>
      </c>
      <c r="C291" s="39" t="s">
        <v>38</v>
      </c>
      <c r="D291" s="40" t="s">
        <v>37</v>
      </c>
      <c r="F291" s="41"/>
      <c r="G291" s="117" t="s">
        <v>35</v>
      </c>
      <c r="H291" s="117" t="s">
        <v>35</v>
      </c>
      <c r="I291" s="47"/>
      <c r="J291" s="49" t="s">
        <v>36</v>
      </c>
      <c r="K291" s="43"/>
      <c r="M291" s="30" t="str">
        <f t="shared" si="28"/>
        <v>,</v>
      </c>
      <c r="N291" s="32" t="str">
        <f t="shared" si="29"/>
        <v xml:space="preserve"> </v>
      </c>
    </row>
    <row r="292" spans="1:14">
      <c r="A292" s="45" t="str">
        <f t="shared" si="26"/>
        <v>SLEDcheckreq__,</v>
      </c>
      <c r="B292" s="46" t="str">
        <f t="shared" si="27"/>
        <v>SledRecreq__,</v>
      </c>
      <c r="C292" s="39" t="s">
        <v>38</v>
      </c>
      <c r="D292" s="40" t="s">
        <v>37</v>
      </c>
      <c r="F292" s="41"/>
      <c r="G292" s="117" t="s">
        <v>35</v>
      </c>
      <c r="H292" s="117" t="s">
        <v>35</v>
      </c>
      <c r="I292" s="47"/>
      <c r="J292" s="49" t="s">
        <v>36</v>
      </c>
      <c r="K292" s="43"/>
      <c r="M292" s="30" t="str">
        <f t="shared" si="28"/>
        <v>,</v>
      </c>
      <c r="N292" s="32" t="str">
        <f t="shared" si="29"/>
        <v xml:space="preserve"> </v>
      </c>
    </row>
    <row r="293" spans="1:14">
      <c r="A293" s="45" t="str">
        <f t="shared" si="26"/>
        <v>SLEDcheckreq__,</v>
      </c>
      <c r="B293" s="46" t="str">
        <f t="shared" si="27"/>
        <v>SledRecreq__,</v>
      </c>
      <c r="C293" s="39" t="s">
        <v>38</v>
      </c>
      <c r="D293" s="40" t="s">
        <v>37</v>
      </c>
      <c r="F293" s="41"/>
      <c r="G293" s="117" t="s">
        <v>35</v>
      </c>
      <c r="H293" s="117" t="s">
        <v>35</v>
      </c>
      <c r="I293" s="47"/>
      <c r="J293" s="49" t="s">
        <v>36</v>
      </c>
      <c r="K293" s="43"/>
      <c r="M293" s="30" t="str">
        <f t="shared" si="28"/>
        <v>,</v>
      </c>
      <c r="N293" s="32" t="str">
        <f t="shared" si="29"/>
        <v xml:space="preserve"> </v>
      </c>
    </row>
    <row r="294" spans="1:14">
      <c r="A294" s="45" t="str">
        <f t="shared" si="26"/>
        <v>SLEDcheckreq__,</v>
      </c>
      <c r="B294" s="46" t="str">
        <f t="shared" si="27"/>
        <v>SledRecreq__,</v>
      </c>
      <c r="C294" s="39" t="s">
        <v>38</v>
      </c>
      <c r="D294" s="40" t="s">
        <v>37</v>
      </c>
      <c r="F294" s="41"/>
      <c r="G294" s="117" t="s">
        <v>35</v>
      </c>
      <c r="H294" s="117" t="s">
        <v>35</v>
      </c>
      <c r="I294" s="47"/>
      <c r="J294" s="49" t="s">
        <v>36</v>
      </c>
      <c r="K294" s="43"/>
      <c r="M294" s="30" t="str">
        <f t="shared" si="28"/>
        <v>,</v>
      </c>
      <c r="N294" s="32" t="str">
        <f t="shared" si="29"/>
        <v xml:space="preserve"> </v>
      </c>
    </row>
    <row r="295" spans="1:14">
      <c r="A295" s="45" t="str">
        <f t="shared" si="26"/>
        <v>SLEDcheckreq__,</v>
      </c>
      <c r="B295" s="46" t="str">
        <f t="shared" si="27"/>
        <v>SledRecreq__,</v>
      </c>
      <c r="C295" s="39" t="s">
        <v>38</v>
      </c>
      <c r="D295" s="40" t="s">
        <v>37</v>
      </c>
      <c r="F295" s="41"/>
      <c r="G295" s="117" t="s">
        <v>35</v>
      </c>
      <c r="H295" s="117" t="s">
        <v>35</v>
      </c>
      <c r="I295" s="47"/>
      <c r="J295" s="49" t="s">
        <v>36</v>
      </c>
      <c r="K295" s="43"/>
      <c r="M295" s="30" t="str">
        <f t="shared" si="28"/>
        <v>,</v>
      </c>
      <c r="N295" s="32" t="str">
        <f t="shared" si="29"/>
        <v xml:space="preserve"> </v>
      </c>
    </row>
    <row r="296" spans="1:14">
      <c r="A296" s="45" t="str">
        <f t="shared" si="26"/>
        <v>SLEDcheckreq__,</v>
      </c>
      <c r="B296" s="46" t="str">
        <f t="shared" si="27"/>
        <v>SledRecreq__,</v>
      </c>
      <c r="C296" s="39" t="s">
        <v>38</v>
      </c>
      <c r="D296" s="40" t="s">
        <v>37</v>
      </c>
      <c r="F296" s="41"/>
      <c r="G296" s="117" t="s">
        <v>35</v>
      </c>
      <c r="H296" s="117" t="s">
        <v>35</v>
      </c>
      <c r="I296" s="47"/>
      <c r="J296" s="49" t="s">
        <v>36</v>
      </c>
      <c r="K296" s="43"/>
      <c r="M296" s="30" t="str">
        <f t="shared" si="28"/>
        <v>,</v>
      </c>
      <c r="N296" s="32" t="str">
        <f t="shared" si="29"/>
        <v xml:space="preserve"> </v>
      </c>
    </row>
    <row r="297" spans="1:14">
      <c r="A297" s="45" t="str">
        <f t="shared" si="26"/>
        <v>SLEDcheckreq__,</v>
      </c>
      <c r="B297" s="46" t="str">
        <f t="shared" si="27"/>
        <v>SledRecreq__,</v>
      </c>
      <c r="C297" s="39" t="s">
        <v>38</v>
      </c>
      <c r="D297" s="40" t="s">
        <v>37</v>
      </c>
      <c r="F297" s="41"/>
      <c r="G297" s="117" t="s">
        <v>35</v>
      </c>
      <c r="H297" s="117" t="s">
        <v>35</v>
      </c>
      <c r="I297" s="47"/>
      <c r="J297" s="49" t="s">
        <v>36</v>
      </c>
      <c r="K297" s="43"/>
      <c r="M297" s="30" t="str">
        <f t="shared" si="28"/>
        <v>,</v>
      </c>
      <c r="N297" s="32" t="str">
        <f t="shared" si="29"/>
        <v xml:space="preserve"> </v>
      </c>
    </row>
    <row r="298" spans="1:14">
      <c r="A298" s="45" t="str">
        <f t="shared" si="26"/>
        <v>SLEDcheckreq__,</v>
      </c>
      <c r="B298" s="46" t="str">
        <f t="shared" si="27"/>
        <v>SledRecreq__,</v>
      </c>
      <c r="C298" s="39" t="s">
        <v>38</v>
      </c>
      <c r="D298" s="40" t="s">
        <v>37</v>
      </c>
      <c r="F298" s="41"/>
      <c r="G298" s="117" t="s">
        <v>35</v>
      </c>
      <c r="H298" s="117" t="s">
        <v>35</v>
      </c>
      <c r="I298" s="47"/>
      <c r="J298" s="49" t="s">
        <v>36</v>
      </c>
      <c r="K298" s="43"/>
      <c r="M298" s="30" t="str">
        <f t="shared" si="28"/>
        <v>,</v>
      </c>
      <c r="N298" s="32" t="str">
        <f t="shared" si="29"/>
        <v xml:space="preserve"> </v>
      </c>
    </row>
    <row r="299" spans="1:14">
      <c r="A299" s="45" t="str">
        <f t="shared" si="26"/>
        <v>SLEDcheckreq__,</v>
      </c>
      <c r="B299" s="46" t="str">
        <f t="shared" si="27"/>
        <v>SledRecreq__,</v>
      </c>
      <c r="C299" s="39" t="s">
        <v>38</v>
      </c>
      <c r="D299" s="40" t="s">
        <v>37</v>
      </c>
      <c r="F299" s="41"/>
      <c r="G299" s="117" t="s">
        <v>35</v>
      </c>
      <c r="H299" s="117" t="s">
        <v>35</v>
      </c>
      <c r="I299" s="47"/>
      <c r="J299" s="49" t="s">
        <v>36</v>
      </c>
      <c r="K299" s="43"/>
      <c r="M299" s="30" t="str">
        <f t="shared" si="28"/>
        <v>,</v>
      </c>
      <c r="N299" s="32" t="str">
        <f t="shared" si="29"/>
        <v xml:space="preserve"> </v>
      </c>
    </row>
    <row r="300" spans="1:14">
      <c r="A300" s="45" t="str">
        <f t="shared" si="26"/>
        <v>SLEDcheckreq__,</v>
      </c>
      <c r="B300" s="46" t="str">
        <f t="shared" si="27"/>
        <v>SledRecreq__,</v>
      </c>
      <c r="C300" s="39" t="s">
        <v>38</v>
      </c>
      <c r="D300" s="40" t="s">
        <v>37</v>
      </c>
      <c r="F300" s="41"/>
      <c r="G300" s="117" t="s">
        <v>35</v>
      </c>
      <c r="H300" s="117" t="s">
        <v>35</v>
      </c>
      <c r="I300" s="47"/>
      <c r="J300" s="49" t="s">
        <v>36</v>
      </c>
      <c r="K300" s="43"/>
      <c r="M300" s="30" t="str">
        <f t="shared" si="28"/>
        <v>,</v>
      </c>
      <c r="N300" s="32" t="str">
        <f t="shared" si="29"/>
        <v xml:space="preserve"> </v>
      </c>
    </row>
    <row r="301" spans="1:14">
      <c r="A301" s="45" t="str">
        <f t="shared" si="26"/>
        <v>SLEDcheckreq__,</v>
      </c>
      <c r="B301" s="46" t="str">
        <f t="shared" si="27"/>
        <v>SledRecreq__,</v>
      </c>
      <c r="C301" s="39" t="s">
        <v>38</v>
      </c>
      <c r="D301" s="40" t="s">
        <v>37</v>
      </c>
      <c r="F301" s="41"/>
      <c r="G301" s="117" t="s">
        <v>35</v>
      </c>
      <c r="H301" s="117" t="s">
        <v>35</v>
      </c>
      <c r="I301" s="47"/>
      <c r="J301" s="49" t="s">
        <v>36</v>
      </c>
      <c r="K301" s="43"/>
      <c r="M301" s="30" t="str">
        <f t="shared" si="28"/>
        <v>,</v>
      </c>
      <c r="N301" s="32" t="str">
        <f t="shared" si="29"/>
        <v xml:space="preserve"> </v>
      </c>
    </row>
    <row r="302" spans="1:14">
      <c r="A302" s="45" t="str">
        <f t="shared" si="26"/>
        <v>SLEDcheckreq__,</v>
      </c>
      <c r="B302" s="46" t="str">
        <f t="shared" si="27"/>
        <v>SledRecreq__,</v>
      </c>
      <c r="C302" s="39" t="s">
        <v>38</v>
      </c>
      <c r="D302" s="40" t="s">
        <v>37</v>
      </c>
      <c r="F302" s="41"/>
      <c r="G302" s="117" t="s">
        <v>35</v>
      </c>
      <c r="H302" s="117" t="s">
        <v>35</v>
      </c>
      <c r="I302" s="47"/>
      <c r="J302" s="49" t="s">
        <v>36</v>
      </c>
      <c r="K302" s="43"/>
      <c r="M302" s="30" t="str">
        <f t="shared" si="28"/>
        <v>,</v>
      </c>
      <c r="N302" s="32" t="str">
        <f t="shared" si="29"/>
        <v xml:space="preserve"> </v>
      </c>
    </row>
    <row r="303" spans="1:14">
      <c r="A303" s="45" t="str">
        <f t="shared" si="26"/>
        <v>SLEDcheckreq__,</v>
      </c>
      <c r="B303" s="46" t="str">
        <f t="shared" si="27"/>
        <v>SledRecreq__,</v>
      </c>
      <c r="C303" s="39" t="s">
        <v>38</v>
      </c>
      <c r="D303" s="40" t="s">
        <v>37</v>
      </c>
      <c r="F303" s="41"/>
      <c r="G303" s="117" t="s">
        <v>35</v>
      </c>
      <c r="H303" s="117" t="s">
        <v>35</v>
      </c>
      <c r="I303" s="47"/>
      <c r="J303" s="49" t="s">
        <v>36</v>
      </c>
      <c r="K303" s="43"/>
      <c r="M303" s="30" t="str">
        <f t="shared" si="28"/>
        <v>,</v>
      </c>
      <c r="N303" s="32" t="str">
        <f t="shared" si="29"/>
        <v xml:space="preserve"> </v>
      </c>
    </row>
    <row r="304" spans="1:14">
      <c r="A304" s="45" t="str">
        <f t="shared" si="26"/>
        <v>SLEDcheckreq__,</v>
      </c>
      <c r="B304" s="46" t="str">
        <f t="shared" si="27"/>
        <v>SledRecreq__,</v>
      </c>
      <c r="C304" s="39" t="s">
        <v>38</v>
      </c>
      <c r="D304" s="40" t="s">
        <v>37</v>
      </c>
      <c r="F304" s="41"/>
      <c r="G304" s="117" t="s">
        <v>35</v>
      </c>
      <c r="H304" s="117" t="s">
        <v>35</v>
      </c>
      <c r="I304" s="47"/>
      <c r="J304" s="49" t="s">
        <v>36</v>
      </c>
      <c r="K304" s="43"/>
      <c r="M304" s="30" t="str">
        <f t="shared" si="28"/>
        <v>,</v>
      </c>
      <c r="N304" s="32" t="str">
        <f t="shared" si="29"/>
        <v xml:space="preserve"> </v>
      </c>
    </row>
    <row r="305" spans="1:14">
      <c r="A305" s="45" t="str">
        <f t="shared" ref="A305:A343" si="30">CONCATENATE(D305,G305,F305,G305,I305,J305,K305)</f>
        <v>SLEDcheckreq__,</v>
      </c>
      <c r="B305" s="46" t="str">
        <f t="shared" ref="B305:B343" si="31">CONCATENATE(C305,H305,F305,H305,I305,J305,K305)</f>
        <v>SledRecreq__,</v>
      </c>
      <c r="C305" s="39" t="s">
        <v>38</v>
      </c>
      <c r="D305" s="40" t="s">
        <v>37</v>
      </c>
      <c r="F305" s="41"/>
      <c r="G305" s="117" t="s">
        <v>35</v>
      </c>
      <c r="H305" s="117" t="s">
        <v>35</v>
      </c>
      <c r="I305" s="47"/>
      <c r="J305" s="49" t="s">
        <v>36</v>
      </c>
      <c r="K305" s="43"/>
      <c r="M305" s="30" t="str">
        <f t="shared" ref="M305:M343" si="32">_xlfn.CONCAT(I305:K305)</f>
        <v>,</v>
      </c>
      <c r="N305" s="32" t="str">
        <f t="shared" ref="N305:N343" si="33">CONCATENATE(K305," ",I305)</f>
        <v xml:space="preserve"> </v>
      </c>
    </row>
    <row r="306" spans="1:14">
      <c r="A306" s="45" t="str">
        <f t="shared" si="30"/>
        <v>SLEDcheckreq__,</v>
      </c>
      <c r="B306" s="46" t="str">
        <f t="shared" si="31"/>
        <v>SledRecreq__,</v>
      </c>
      <c r="C306" s="39" t="s">
        <v>38</v>
      </c>
      <c r="D306" s="40" t="s">
        <v>37</v>
      </c>
      <c r="F306" s="41"/>
      <c r="G306" s="117" t="s">
        <v>35</v>
      </c>
      <c r="H306" s="117" t="s">
        <v>35</v>
      </c>
      <c r="I306" s="47"/>
      <c r="J306" s="49" t="s">
        <v>36</v>
      </c>
      <c r="K306" s="43"/>
      <c r="M306" s="30" t="str">
        <f t="shared" si="32"/>
        <v>,</v>
      </c>
      <c r="N306" s="32" t="str">
        <f t="shared" si="33"/>
        <v xml:space="preserve"> </v>
      </c>
    </row>
    <row r="307" spans="1:14">
      <c r="A307" s="45" t="str">
        <f t="shared" si="30"/>
        <v>SLEDcheckreq__,</v>
      </c>
      <c r="B307" s="46" t="str">
        <f t="shared" si="31"/>
        <v>SledRecreq__,</v>
      </c>
      <c r="C307" s="39" t="s">
        <v>38</v>
      </c>
      <c r="D307" s="40" t="s">
        <v>37</v>
      </c>
      <c r="F307" s="41"/>
      <c r="G307" s="117" t="s">
        <v>35</v>
      </c>
      <c r="H307" s="117" t="s">
        <v>35</v>
      </c>
      <c r="I307" s="47"/>
      <c r="J307" s="49" t="s">
        <v>36</v>
      </c>
      <c r="K307" s="43"/>
      <c r="M307" s="30" t="str">
        <f t="shared" si="32"/>
        <v>,</v>
      </c>
      <c r="N307" s="32" t="str">
        <f t="shared" si="33"/>
        <v xml:space="preserve"> </v>
      </c>
    </row>
    <row r="308" spans="1:14">
      <c r="A308" s="45" t="str">
        <f t="shared" si="30"/>
        <v>SLEDcheckreq__,</v>
      </c>
      <c r="B308" s="46" t="str">
        <f t="shared" si="31"/>
        <v>SledRecreq__,</v>
      </c>
      <c r="C308" s="39" t="s">
        <v>38</v>
      </c>
      <c r="D308" s="40" t="s">
        <v>37</v>
      </c>
      <c r="F308" s="41"/>
      <c r="G308" s="117" t="s">
        <v>35</v>
      </c>
      <c r="H308" s="117" t="s">
        <v>35</v>
      </c>
      <c r="I308" s="47"/>
      <c r="J308" s="49" t="s">
        <v>36</v>
      </c>
      <c r="K308" s="43"/>
      <c r="M308" s="30" t="str">
        <f t="shared" si="32"/>
        <v>,</v>
      </c>
      <c r="N308" s="32" t="str">
        <f t="shared" si="33"/>
        <v xml:space="preserve"> </v>
      </c>
    </row>
    <row r="309" spans="1:14">
      <c r="A309" s="45" t="str">
        <f t="shared" si="30"/>
        <v>SLEDcheckreq__,</v>
      </c>
      <c r="B309" s="46" t="str">
        <f t="shared" si="31"/>
        <v>SledRecreq__,</v>
      </c>
      <c r="C309" s="39" t="s">
        <v>38</v>
      </c>
      <c r="D309" s="40" t="s">
        <v>37</v>
      </c>
      <c r="F309" s="41"/>
      <c r="G309" s="117" t="s">
        <v>35</v>
      </c>
      <c r="H309" s="117" t="s">
        <v>35</v>
      </c>
      <c r="I309" s="47"/>
      <c r="J309" s="49" t="s">
        <v>36</v>
      </c>
      <c r="K309" s="43"/>
      <c r="M309" s="30" t="str">
        <f t="shared" si="32"/>
        <v>,</v>
      </c>
      <c r="N309" s="32" t="str">
        <f t="shared" si="33"/>
        <v xml:space="preserve"> </v>
      </c>
    </row>
    <row r="310" spans="1:14">
      <c r="A310" s="45" t="str">
        <f t="shared" si="30"/>
        <v>SLEDcheckreq__,</v>
      </c>
      <c r="B310" s="46" t="str">
        <f t="shared" si="31"/>
        <v>SledRecreq__,</v>
      </c>
      <c r="C310" s="39" t="s">
        <v>38</v>
      </c>
      <c r="D310" s="40" t="s">
        <v>37</v>
      </c>
      <c r="F310" s="41"/>
      <c r="G310" s="117" t="s">
        <v>35</v>
      </c>
      <c r="H310" s="117" t="s">
        <v>35</v>
      </c>
      <c r="I310" s="47"/>
      <c r="J310" s="49" t="s">
        <v>36</v>
      </c>
      <c r="K310" s="43"/>
      <c r="M310" s="30" t="str">
        <f t="shared" si="32"/>
        <v>,</v>
      </c>
      <c r="N310" s="32" t="str">
        <f t="shared" si="33"/>
        <v xml:space="preserve"> </v>
      </c>
    </row>
    <row r="311" spans="1:14">
      <c r="A311" s="45" t="str">
        <f t="shared" si="30"/>
        <v>SLEDcheckreq__,</v>
      </c>
      <c r="B311" s="46" t="str">
        <f t="shared" si="31"/>
        <v>SledRecreq__,</v>
      </c>
      <c r="C311" s="39" t="s">
        <v>38</v>
      </c>
      <c r="D311" s="40" t="s">
        <v>37</v>
      </c>
      <c r="F311" s="41"/>
      <c r="G311" s="117" t="s">
        <v>35</v>
      </c>
      <c r="H311" s="117" t="s">
        <v>35</v>
      </c>
      <c r="I311" s="47"/>
      <c r="J311" s="49" t="s">
        <v>36</v>
      </c>
      <c r="K311" s="43"/>
      <c r="M311" s="30" t="str">
        <f t="shared" si="32"/>
        <v>,</v>
      </c>
      <c r="N311" s="32" t="str">
        <f t="shared" si="33"/>
        <v xml:space="preserve"> </v>
      </c>
    </row>
    <row r="312" spans="1:14">
      <c r="A312" s="45" t="str">
        <f t="shared" si="30"/>
        <v>SLEDcheckreq__,</v>
      </c>
      <c r="B312" s="46" t="str">
        <f t="shared" si="31"/>
        <v>SledRecreq__,</v>
      </c>
      <c r="C312" s="39" t="s">
        <v>38</v>
      </c>
      <c r="D312" s="40" t="s">
        <v>37</v>
      </c>
      <c r="F312" s="41"/>
      <c r="G312" s="117" t="s">
        <v>35</v>
      </c>
      <c r="H312" s="117" t="s">
        <v>35</v>
      </c>
      <c r="I312" s="47"/>
      <c r="J312" s="49" t="s">
        <v>36</v>
      </c>
      <c r="K312" s="43"/>
      <c r="M312" s="30" t="str">
        <f t="shared" si="32"/>
        <v>,</v>
      </c>
      <c r="N312" s="32" t="str">
        <f t="shared" si="33"/>
        <v xml:space="preserve"> </v>
      </c>
    </row>
    <row r="313" spans="1:14">
      <c r="A313" s="45" t="str">
        <f t="shared" si="30"/>
        <v>SLEDcheckreq__,</v>
      </c>
      <c r="B313" s="46" t="str">
        <f t="shared" si="31"/>
        <v>SledRecreq__,</v>
      </c>
      <c r="C313" s="39" t="s">
        <v>38</v>
      </c>
      <c r="D313" s="40" t="s">
        <v>37</v>
      </c>
      <c r="F313" s="41"/>
      <c r="G313" s="117" t="s">
        <v>35</v>
      </c>
      <c r="H313" s="117" t="s">
        <v>35</v>
      </c>
      <c r="I313" s="47"/>
      <c r="J313" s="49" t="s">
        <v>36</v>
      </c>
      <c r="K313" s="43"/>
      <c r="M313" s="30" t="str">
        <f t="shared" si="32"/>
        <v>,</v>
      </c>
      <c r="N313" s="32" t="str">
        <f t="shared" si="33"/>
        <v xml:space="preserve"> </v>
      </c>
    </row>
    <row r="314" spans="1:14">
      <c r="A314" s="45" t="str">
        <f t="shared" si="30"/>
        <v>SLEDcheckreq__,</v>
      </c>
      <c r="B314" s="46" t="str">
        <f t="shared" si="31"/>
        <v>SledRecreq__,</v>
      </c>
      <c r="C314" s="39" t="s">
        <v>38</v>
      </c>
      <c r="D314" s="40" t="s">
        <v>37</v>
      </c>
      <c r="F314" s="41"/>
      <c r="G314" s="117" t="s">
        <v>35</v>
      </c>
      <c r="H314" s="117" t="s">
        <v>35</v>
      </c>
      <c r="I314" s="47"/>
      <c r="J314" s="49" t="s">
        <v>36</v>
      </c>
      <c r="K314" s="43"/>
      <c r="M314" s="30" t="str">
        <f t="shared" si="32"/>
        <v>,</v>
      </c>
      <c r="N314" s="32" t="str">
        <f t="shared" si="33"/>
        <v xml:space="preserve"> </v>
      </c>
    </row>
    <row r="315" spans="1:14">
      <c r="A315" s="45" t="str">
        <f t="shared" si="30"/>
        <v>SLEDcheckreq__,</v>
      </c>
      <c r="B315" s="46" t="str">
        <f t="shared" si="31"/>
        <v>SledRecreq__,</v>
      </c>
      <c r="C315" s="39" t="s">
        <v>38</v>
      </c>
      <c r="D315" s="40" t="s">
        <v>37</v>
      </c>
      <c r="F315" s="41"/>
      <c r="G315" s="117" t="s">
        <v>35</v>
      </c>
      <c r="H315" s="117" t="s">
        <v>35</v>
      </c>
      <c r="I315" s="47"/>
      <c r="J315" s="49" t="s">
        <v>36</v>
      </c>
      <c r="K315" s="43"/>
      <c r="M315" s="30" t="str">
        <f t="shared" si="32"/>
        <v>,</v>
      </c>
      <c r="N315" s="32" t="str">
        <f t="shared" si="33"/>
        <v xml:space="preserve"> </v>
      </c>
    </row>
    <row r="316" spans="1:14">
      <c r="A316" s="45" t="str">
        <f t="shared" si="30"/>
        <v>SLEDcheckreq__,</v>
      </c>
      <c r="B316" s="46" t="str">
        <f t="shared" si="31"/>
        <v>SledRecreq__,</v>
      </c>
      <c r="C316" s="39" t="s">
        <v>38</v>
      </c>
      <c r="D316" s="40" t="s">
        <v>37</v>
      </c>
      <c r="F316" s="41"/>
      <c r="G316" s="117" t="s">
        <v>35</v>
      </c>
      <c r="H316" s="117" t="s">
        <v>35</v>
      </c>
      <c r="I316" s="47"/>
      <c r="J316" s="49" t="s">
        <v>36</v>
      </c>
      <c r="K316" s="43"/>
      <c r="M316" s="30" t="str">
        <f t="shared" si="32"/>
        <v>,</v>
      </c>
      <c r="N316" s="32" t="str">
        <f t="shared" si="33"/>
        <v xml:space="preserve"> </v>
      </c>
    </row>
    <row r="317" spans="1:14">
      <c r="A317" s="45" t="str">
        <f t="shared" si="30"/>
        <v>SLEDcheckreq__,</v>
      </c>
      <c r="B317" s="46" t="str">
        <f t="shared" si="31"/>
        <v>SledRecreq__,</v>
      </c>
      <c r="C317" s="39" t="s">
        <v>38</v>
      </c>
      <c r="D317" s="40" t="s">
        <v>37</v>
      </c>
      <c r="F317" s="41"/>
      <c r="G317" s="117" t="s">
        <v>35</v>
      </c>
      <c r="H317" s="117" t="s">
        <v>35</v>
      </c>
      <c r="I317" s="47"/>
      <c r="J317" s="49" t="s">
        <v>36</v>
      </c>
      <c r="K317" s="43"/>
      <c r="M317" s="30" t="str">
        <f t="shared" si="32"/>
        <v>,</v>
      </c>
      <c r="N317" s="32" t="str">
        <f t="shared" si="33"/>
        <v xml:space="preserve"> </v>
      </c>
    </row>
    <row r="318" spans="1:14">
      <c r="A318" s="45" t="str">
        <f t="shared" si="30"/>
        <v>SLEDcheckreq__,</v>
      </c>
      <c r="B318" s="46" t="str">
        <f t="shared" si="31"/>
        <v>SledRecreq__,</v>
      </c>
      <c r="C318" s="39" t="s">
        <v>38</v>
      </c>
      <c r="D318" s="40" t="s">
        <v>37</v>
      </c>
      <c r="F318" s="41"/>
      <c r="G318" s="117" t="s">
        <v>35</v>
      </c>
      <c r="H318" s="117" t="s">
        <v>35</v>
      </c>
      <c r="I318" s="47"/>
      <c r="J318" s="49" t="s">
        <v>36</v>
      </c>
      <c r="K318" s="43"/>
      <c r="M318" s="30" t="str">
        <f t="shared" si="32"/>
        <v>,</v>
      </c>
      <c r="N318" s="32" t="str">
        <f t="shared" si="33"/>
        <v xml:space="preserve"> </v>
      </c>
    </row>
    <row r="319" spans="1:14">
      <c r="A319" s="45" t="str">
        <f t="shared" si="30"/>
        <v>SLEDcheckreq__,</v>
      </c>
      <c r="B319" s="46" t="str">
        <f t="shared" si="31"/>
        <v>SledRecreq__,</v>
      </c>
      <c r="C319" s="39" t="s">
        <v>38</v>
      </c>
      <c r="D319" s="40" t="s">
        <v>37</v>
      </c>
      <c r="F319" s="41"/>
      <c r="G319" s="117" t="s">
        <v>35</v>
      </c>
      <c r="H319" s="117" t="s">
        <v>35</v>
      </c>
      <c r="I319" s="47"/>
      <c r="J319" s="49" t="s">
        <v>36</v>
      </c>
      <c r="K319" s="43"/>
      <c r="M319" s="30" t="str">
        <f t="shared" si="32"/>
        <v>,</v>
      </c>
      <c r="N319" s="32" t="str">
        <f t="shared" si="33"/>
        <v xml:space="preserve"> </v>
      </c>
    </row>
    <row r="320" spans="1:14">
      <c r="A320" s="45" t="str">
        <f t="shared" si="30"/>
        <v>SLEDcheckreq__,</v>
      </c>
      <c r="B320" s="46" t="str">
        <f t="shared" si="31"/>
        <v>SledRecreq__,</v>
      </c>
      <c r="C320" s="39" t="s">
        <v>38</v>
      </c>
      <c r="D320" s="40" t="s">
        <v>37</v>
      </c>
      <c r="F320" s="41"/>
      <c r="G320" s="117" t="s">
        <v>35</v>
      </c>
      <c r="H320" s="117" t="s">
        <v>35</v>
      </c>
      <c r="I320" s="47"/>
      <c r="J320" s="49" t="s">
        <v>36</v>
      </c>
      <c r="K320" s="43"/>
      <c r="M320" s="30" t="str">
        <f t="shared" si="32"/>
        <v>,</v>
      </c>
      <c r="N320" s="32" t="str">
        <f t="shared" si="33"/>
        <v xml:space="preserve"> </v>
      </c>
    </row>
    <row r="321" spans="1:14">
      <c r="A321" s="45" t="str">
        <f t="shared" si="30"/>
        <v>SLEDcheckreq__,</v>
      </c>
      <c r="B321" s="46" t="str">
        <f t="shared" si="31"/>
        <v>SledRecreq__,</v>
      </c>
      <c r="C321" s="39" t="s">
        <v>38</v>
      </c>
      <c r="D321" s="40" t="s">
        <v>37</v>
      </c>
      <c r="F321" s="41"/>
      <c r="G321" s="117" t="s">
        <v>35</v>
      </c>
      <c r="H321" s="117" t="s">
        <v>35</v>
      </c>
      <c r="I321" s="47"/>
      <c r="J321" s="49" t="s">
        <v>36</v>
      </c>
      <c r="K321" s="43"/>
      <c r="M321" s="30" t="str">
        <f t="shared" si="32"/>
        <v>,</v>
      </c>
      <c r="N321" s="32" t="str">
        <f t="shared" si="33"/>
        <v xml:space="preserve"> </v>
      </c>
    </row>
    <row r="322" spans="1:14">
      <c r="A322" s="45" t="str">
        <f t="shared" si="30"/>
        <v>SLEDcheckreq__,</v>
      </c>
      <c r="B322" s="46" t="str">
        <f t="shared" si="31"/>
        <v>SledRecreq__,</v>
      </c>
      <c r="C322" s="39" t="s">
        <v>38</v>
      </c>
      <c r="D322" s="40" t="s">
        <v>37</v>
      </c>
      <c r="F322" s="41"/>
      <c r="G322" s="117" t="s">
        <v>35</v>
      </c>
      <c r="H322" s="117" t="s">
        <v>35</v>
      </c>
      <c r="I322" s="47"/>
      <c r="J322" s="49" t="s">
        <v>36</v>
      </c>
      <c r="K322" s="43"/>
      <c r="M322" s="30" t="str">
        <f t="shared" si="32"/>
        <v>,</v>
      </c>
      <c r="N322" s="32" t="str">
        <f t="shared" si="33"/>
        <v xml:space="preserve"> </v>
      </c>
    </row>
    <row r="323" spans="1:14">
      <c r="A323" s="45" t="str">
        <f t="shared" si="30"/>
        <v>SLEDcheckreq__,</v>
      </c>
      <c r="B323" s="46" t="str">
        <f t="shared" si="31"/>
        <v>SledRecreq__,</v>
      </c>
      <c r="C323" s="39" t="s">
        <v>38</v>
      </c>
      <c r="D323" s="40" t="s">
        <v>37</v>
      </c>
      <c r="F323" s="41"/>
      <c r="G323" s="117" t="s">
        <v>35</v>
      </c>
      <c r="H323" s="117" t="s">
        <v>35</v>
      </c>
      <c r="I323" s="47"/>
      <c r="J323" s="49" t="s">
        <v>36</v>
      </c>
      <c r="K323" s="43"/>
      <c r="M323" s="30" t="str">
        <f t="shared" si="32"/>
        <v>,</v>
      </c>
      <c r="N323" s="32" t="str">
        <f t="shared" si="33"/>
        <v xml:space="preserve"> </v>
      </c>
    </row>
    <row r="324" spans="1:14">
      <c r="A324" s="45" t="str">
        <f t="shared" si="30"/>
        <v>SLEDcheckreq__,</v>
      </c>
      <c r="B324" s="46" t="str">
        <f t="shared" si="31"/>
        <v>SledRecreq__,</v>
      </c>
      <c r="C324" s="39" t="s">
        <v>38</v>
      </c>
      <c r="D324" s="40" t="s">
        <v>37</v>
      </c>
      <c r="F324" s="41"/>
      <c r="G324" s="117" t="s">
        <v>35</v>
      </c>
      <c r="H324" s="117" t="s">
        <v>35</v>
      </c>
      <c r="I324" s="47"/>
      <c r="J324" s="49" t="s">
        <v>36</v>
      </c>
      <c r="K324" s="43"/>
      <c r="M324" s="30" t="str">
        <f t="shared" si="32"/>
        <v>,</v>
      </c>
      <c r="N324" s="32" t="str">
        <f t="shared" si="33"/>
        <v xml:space="preserve"> </v>
      </c>
    </row>
    <row r="325" spans="1:14">
      <c r="A325" s="45" t="str">
        <f t="shared" si="30"/>
        <v>SLEDcheckreq__,</v>
      </c>
      <c r="B325" s="46" t="str">
        <f t="shared" si="31"/>
        <v>SledRecreq__,</v>
      </c>
      <c r="C325" s="39" t="s">
        <v>38</v>
      </c>
      <c r="D325" s="40" t="s">
        <v>37</v>
      </c>
      <c r="F325" s="41"/>
      <c r="G325" s="117" t="s">
        <v>35</v>
      </c>
      <c r="H325" s="117" t="s">
        <v>35</v>
      </c>
      <c r="I325" s="47"/>
      <c r="J325" s="49" t="s">
        <v>36</v>
      </c>
      <c r="K325" s="43"/>
      <c r="M325" s="30" t="str">
        <f t="shared" si="32"/>
        <v>,</v>
      </c>
      <c r="N325" s="32" t="str">
        <f t="shared" si="33"/>
        <v xml:space="preserve"> </v>
      </c>
    </row>
    <row r="326" spans="1:14">
      <c r="A326" s="45" t="str">
        <f t="shared" si="30"/>
        <v>SLEDcheckreq__,</v>
      </c>
      <c r="B326" s="46" t="str">
        <f t="shared" si="31"/>
        <v>SledRecreq__,</v>
      </c>
      <c r="C326" s="39" t="s">
        <v>38</v>
      </c>
      <c r="D326" s="40" t="s">
        <v>37</v>
      </c>
      <c r="F326" s="41"/>
      <c r="G326" s="117" t="s">
        <v>35</v>
      </c>
      <c r="H326" s="117" t="s">
        <v>35</v>
      </c>
      <c r="I326" s="47"/>
      <c r="J326" s="49" t="s">
        <v>36</v>
      </c>
      <c r="K326" s="43"/>
      <c r="M326" s="30" t="str">
        <f t="shared" si="32"/>
        <v>,</v>
      </c>
      <c r="N326" s="32" t="str">
        <f t="shared" si="33"/>
        <v xml:space="preserve"> </v>
      </c>
    </row>
    <row r="327" spans="1:14">
      <c r="A327" s="45" t="str">
        <f t="shared" si="30"/>
        <v>SLEDcheckreq__,</v>
      </c>
      <c r="B327" s="46" t="str">
        <f t="shared" si="31"/>
        <v>SledRecreq__,</v>
      </c>
      <c r="C327" s="39" t="s">
        <v>38</v>
      </c>
      <c r="D327" s="40" t="s">
        <v>37</v>
      </c>
      <c r="F327" s="41"/>
      <c r="G327" s="117" t="s">
        <v>35</v>
      </c>
      <c r="H327" s="117" t="s">
        <v>35</v>
      </c>
      <c r="I327" s="47"/>
      <c r="J327" s="49" t="s">
        <v>36</v>
      </c>
      <c r="K327" s="43"/>
      <c r="M327" s="30" t="str">
        <f t="shared" si="32"/>
        <v>,</v>
      </c>
      <c r="N327" s="32" t="str">
        <f t="shared" si="33"/>
        <v xml:space="preserve"> </v>
      </c>
    </row>
    <row r="328" spans="1:14">
      <c r="A328" s="45" t="str">
        <f t="shared" si="30"/>
        <v>SLEDcheckreq__,</v>
      </c>
      <c r="B328" s="46" t="str">
        <f t="shared" si="31"/>
        <v>SledRecreq__,</v>
      </c>
      <c r="C328" s="39" t="s">
        <v>38</v>
      </c>
      <c r="D328" s="40" t="s">
        <v>37</v>
      </c>
      <c r="F328" s="41"/>
      <c r="G328" s="117" t="s">
        <v>35</v>
      </c>
      <c r="H328" s="117" t="s">
        <v>35</v>
      </c>
      <c r="I328" s="47"/>
      <c r="J328" s="49" t="s">
        <v>36</v>
      </c>
      <c r="K328" s="43"/>
      <c r="M328" s="30" t="str">
        <f t="shared" si="32"/>
        <v>,</v>
      </c>
      <c r="N328" s="32" t="str">
        <f t="shared" si="33"/>
        <v xml:space="preserve"> </v>
      </c>
    </row>
    <row r="329" spans="1:14">
      <c r="A329" s="45" t="str">
        <f t="shared" si="30"/>
        <v>SLEDcheckreq__,</v>
      </c>
      <c r="B329" s="46" t="str">
        <f t="shared" si="31"/>
        <v>SledRecreq__,</v>
      </c>
      <c r="C329" s="39" t="s">
        <v>38</v>
      </c>
      <c r="D329" s="40" t="s">
        <v>37</v>
      </c>
      <c r="F329" s="41"/>
      <c r="G329" s="117" t="s">
        <v>35</v>
      </c>
      <c r="H329" s="117" t="s">
        <v>35</v>
      </c>
      <c r="I329" s="47"/>
      <c r="J329" s="49" t="s">
        <v>36</v>
      </c>
      <c r="K329" s="43"/>
      <c r="M329" s="30" t="str">
        <f t="shared" si="32"/>
        <v>,</v>
      </c>
      <c r="N329" s="32" t="str">
        <f t="shared" si="33"/>
        <v xml:space="preserve"> </v>
      </c>
    </row>
    <row r="330" spans="1:14">
      <c r="A330" s="45" t="str">
        <f t="shared" si="30"/>
        <v>SLEDcheckreq__,</v>
      </c>
      <c r="B330" s="46" t="str">
        <f t="shared" si="31"/>
        <v>SledRecreq__,</v>
      </c>
      <c r="C330" s="39" t="s">
        <v>38</v>
      </c>
      <c r="D330" s="40" t="s">
        <v>37</v>
      </c>
      <c r="F330" s="41"/>
      <c r="G330" s="117" t="s">
        <v>35</v>
      </c>
      <c r="H330" s="117" t="s">
        <v>35</v>
      </c>
      <c r="I330" s="47"/>
      <c r="J330" s="49" t="s">
        <v>36</v>
      </c>
      <c r="K330" s="43"/>
      <c r="M330" s="30" t="str">
        <f t="shared" si="32"/>
        <v>,</v>
      </c>
      <c r="N330" s="32" t="str">
        <f t="shared" si="33"/>
        <v xml:space="preserve"> </v>
      </c>
    </row>
    <row r="331" spans="1:14">
      <c r="A331" s="45" t="str">
        <f t="shared" si="30"/>
        <v>SLEDcheckreq__,</v>
      </c>
      <c r="B331" s="46" t="str">
        <f t="shared" si="31"/>
        <v>SledRecreq__,</v>
      </c>
      <c r="C331" s="39" t="s">
        <v>38</v>
      </c>
      <c r="D331" s="40" t="s">
        <v>37</v>
      </c>
      <c r="F331" s="41"/>
      <c r="G331" s="117" t="s">
        <v>35</v>
      </c>
      <c r="H331" s="117" t="s">
        <v>35</v>
      </c>
      <c r="I331" s="47"/>
      <c r="J331" s="49" t="s">
        <v>36</v>
      </c>
      <c r="K331" s="43"/>
      <c r="M331" s="30" t="str">
        <f t="shared" si="32"/>
        <v>,</v>
      </c>
      <c r="N331" s="32" t="str">
        <f t="shared" si="33"/>
        <v xml:space="preserve"> </v>
      </c>
    </row>
    <row r="332" spans="1:14">
      <c r="A332" s="45" t="str">
        <f t="shared" si="30"/>
        <v>SLEDcheckreq__,</v>
      </c>
      <c r="B332" s="46" t="str">
        <f t="shared" si="31"/>
        <v>SledRecreq__,</v>
      </c>
      <c r="C332" s="39" t="s">
        <v>38</v>
      </c>
      <c r="D332" s="40" t="s">
        <v>37</v>
      </c>
      <c r="F332" s="41"/>
      <c r="G332" s="117" t="s">
        <v>35</v>
      </c>
      <c r="H332" s="117" t="s">
        <v>35</v>
      </c>
      <c r="I332" s="47"/>
      <c r="J332" s="49" t="s">
        <v>36</v>
      </c>
      <c r="K332" s="43"/>
      <c r="M332" s="30" t="str">
        <f t="shared" si="32"/>
        <v>,</v>
      </c>
      <c r="N332" s="32" t="str">
        <f t="shared" si="33"/>
        <v xml:space="preserve"> </v>
      </c>
    </row>
    <row r="333" spans="1:14">
      <c r="A333" s="45" t="str">
        <f t="shared" si="30"/>
        <v>SLEDcheckreq__,</v>
      </c>
      <c r="B333" s="46" t="str">
        <f t="shared" si="31"/>
        <v>SledRecreq__,</v>
      </c>
      <c r="C333" s="39" t="s">
        <v>38</v>
      </c>
      <c r="D333" s="40" t="s">
        <v>37</v>
      </c>
      <c r="F333" s="41"/>
      <c r="G333" s="117" t="s">
        <v>35</v>
      </c>
      <c r="H333" s="117" t="s">
        <v>35</v>
      </c>
      <c r="I333" s="47"/>
      <c r="J333" s="49" t="s">
        <v>36</v>
      </c>
      <c r="K333" s="43"/>
      <c r="M333" s="30" t="str">
        <f t="shared" si="32"/>
        <v>,</v>
      </c>
      <c r="N333" s="32" t="str">
        <f t="shared" si="33"/>
        <v xml:space="preserve"> </v>
      </c>
    </row>
    <row r="334" spans="1:14">
      <c r="A334" s="45" t="str">
        <f t="shared" si="30"/>
        <v>SLEDcheckreq__,</v>
      </c>
      <c r="B334" s="46" t="str">
        <f t="shared" si="31"/>
        <v>SledRecreq__,</v>
      </c>
      <c r="C334" s="39" t="s">
        <v>38</v>
      </c>
      <c r="D334" s="40" t="s">
        <v>37</v>
      </c>
      <c r="F334" s="41"/>
      <c r="G334" s="117" t="s">
        <v>35</v>
      </c>
      <c r="H334" s="117" t="s">
        <v>35</v>
      </c>
      <c r="I334" s="47"/>
      <c r="J334" s="49" t="s">
        <v>36</v>
      </c>
      <c r="K334" s="43"/>
      <c r="M334" s="30" t="str">
        <f t="shared" si="32"/>
        <v>,</v>
      </c>
      <c r="N334" s="32" t="str">
        <f t="shared" si="33"/>
        <v xml:space="preserve"> </v>
      </c>
    </row>
    <row r="335" spans="1:14">
      <c r="A335" s="45" t="str">
        <f t="shared" si="30"/>
        <v>SLEDcheckreq__,</v>
      </c>
      <c r="B335" s="46" t="str">
        <f t="shared" si="31"/>
        <v>SledRecreq__,</v>
      </c>
      <c r="C335" s="39" t="s">
        <v>38</v>
      </c>
      <c r="D335" s="40" t="s">
        <v>37</v>
      </c>
      <c r="F335" s="41"/>
      <c r="G335" s="117" t="s">
        <v>35</v>
      </c>
      <c r="H335" s="117" t="s">
        <v>35</v>
      </c>
      <c r="I335" s="47"/>
      <c r="J335" s="49" t="s">
        <v>36</v>
      </c>
      <c r="K335" s="43"/>
      <c r="M335" s="30" t="str">
        <f t="shared" si="32"/>
        <v>,</v>
      </c>
      <c r="N335" s="32" t="str">
        <f t="shared" si="33"/>
        <v xml:space="preserve"> </v>
      </c>
    </row>
    <row r="336" spans="1:14">
      <c r="A336" s="45" t="str">
        <f t="shared" si="30"/>
        <v>SLEDcheckreq__,</v>
      </c>
      <c r="B336" s="46" t="str">
        <f t="shared" si="31"/>
        <v>SledRecreq__,</v>
      </c>
      <c r="C336" s="39" t="s">
        <v>38</v>
      </c>
      <c r="D336" s="40" t="s">
        <v>37</v>
      </c>
      <c r="F336" s="41"/>
      <c r="G336" s="117" t="s">
        <v>35</v>
      </c>
      <c r="H336" s="117" t="s">
        <v>35</v>
      </c>
      <c r="I336" s="47"/>
      <c r="J336" s="49" t="s">
        <v>36</v>
      </c>
      <c r="K336" s="43"/>
      <c r="M336" s="30" t="str">
        <f t="shared" si="32"/>
        <v>,</v>
      </c>
      <c r="N336" s="32" t="str">
        <f t="shared" si="33"/>
        <v xml:space="preserve"> </v>
      </c>
    </row>
    <row r="337" spans="1:14">
      <c r="A337" s="45" t="str">
        <f t="shared" si="30"/>
        <v>SLEDcheckreq__,</v>
      </c>
      <c r="B337" s="46" t="str">
        <f t="shared" si="31"/>
        <v>SledRecreq__,</v>
      </c>
      <c r="C337" s="39" t="s">
        <v>38</v>
      </c>
      <c r="D337" s="40" t="s">
        <v>37</v>
      </c>
      <c r="F337" s="41"/>
      <c r="G337" s="117" t="s">
        <v>35</v>
      </c>
      <c r="H337" s="117" t="s">
        <v>35</v>
      </c>
      <c r="I337" s="47"/>
      <c r="J337" s="49" t="s">
        <v>36</v>
      </c>
      <c r="K337" s="43"/>
      <c r="M337" s="30" t="str">
        <f t="shared" si="32"/>
        <v>,</v>
      </c>
      <c r="N337" s="32" t="str">
        <f t="shared" si="33"/>
        <v xml:space="preserve"> </v>
      </c>
    </row>
    <row r="338" spans="1:14">
      <c r="A338" s="45" t="str">
        <f t="shared" si="30"/>
        <v>SLEDcheckreq__,</v>
      </c>
      <c r="B338" s="46" t="str">
        <f t="shared" si="31"/>
        <v>SledRecreq__,</v>
      </c>
      <c r="C338" s="39" t="s">
        <v>38</v>
      </c>
      <c r="D338" s="40" t="s">
        <v>37</v>
      </c>
      <c r="F338" s="41"/>
      <c r="G338" s="117" t="s">
        <v>35</v>
      </c>
      <c r="H338" s="117" t="s">
        <v>35</v>
      </c>
      <c r="I338" s="47"/>
      <c r="J338" s="49" t="s">
        <v>36</v>
      </c>
      <c r="K338" s="43"/>
      <c r="M338" s="30" t="str">
        <f t="shared" si="32"/>
        <v>,</v>
      </c>
      <c r="N338" s="32" t="str">
        <f t="shared" si="33"/>
        <v xml:space="preserve"> </v>
      </c>
    </row>
    <row r="339" spans="1:14">
      <c r="A339" s="45" t="str">
        <f t="shared" si="30"/>
        <v>SLEDcheckreq__,</v>
      </c>
      <c r="B339" s="46" t="str">
        <f t="shared" si="31"/>
        <v>SledRecreq__,</v>
      </c>
      <c r="C339" s="39" t="s">
        <v>38</v>
      </c>
      <c r="D339" s="40" t="s">
        <v>37</v>
      </c>
      <c r="F339" s="41"/>
      <c r="G339" s="117" t="s">
        <v>35</v>
      </c>
      <c r="H339" s="117" t="s">
        <v>35</v>
      </c>
      <c r="I339" s="47"/>
      <c r="J339" s="49" t="s">
        <v>36</v>
      </c>
      <c r="K339" s="43"/>
      <c r="M339" s="30" t="str">
        <f t="shared" si="32"/>
        <v>,</v>
      </c>
      <c r="N339" s="32" t="str">
        <f t="shared" si="33"/>
        <v xml:space="preserve"> </v>
      </c>
    </row>
    <row r="340" spans="1:14">
      <c r="A340" s="45" t="str">
        <f t="shared" si="30"/>
        <v>SLEDcheckreq__,</v>
      </c>
      <c r="B340" s="46" t="str">
        <f t="shared" si="31"/>
        <v>SledRecreq__,</v>
      </c>
      <c r="C340" s="39" t="s">
        <v>38</v>
      </c>
      <c r="D340" s="40" t="s">
        <v>37</v>
      </c>
      <c r="F340" s="41"/>
      <c r="G340" s="117" t="s">
        <v>35</v>
      </c>
      <c r="H340" s="117" t="s">
        <v>35</v>
      </c>
      <c r="I340" s="47"/>
      <c r="J340" s="49" t="s">
        <v>36</v>
      </c>
      <c r="K340" s="43"/>
      <c r="M340" s="30" t="str">
        <f t="shared" si="32"/>
        <v>,</v>
      </c>
      <c r="N340" s="32" t="str">
        <f t="shared" si="33"/>
        <v xml:space="preserve"> </v>
      </c>
    </row>
    <row r="341" spans="1:14">
      <c r="A341" s="45" t="str">
        <f t="shared" si="30"/>
        <v>SLEDcheckreq__,</v>
      </c>
      <c r="B341" s="46" t="str">
        <f t="shared" si="31"/>
        <v>SledRecreq__,</v>
      </c>
      <c r="C341" s="39" t="s">
        <v>38</v>
      </c>
      <c r="D341" s="40" t="s">
        <v>37</v>
      </c>
      <c r="F341" s="41"/>
      <c r="G341" s="117" t="s">
        <v>35</v>
      </c>
      <c r="H341" s="117" t="s">
        <v>35</v>
      </c>
      <c r="I341" s="47"/>
      <c r="J341" s="49" t="s">
        <v>36</v>
      </c>
      <c r="K341" s="43"/>
      <c r="M341" s="30" t="str">
        <f t="shared" si="32"/>
        <v>,</v>
      </c>
      <c r="N341" s="32" t="str">
        <f t="shared" si="33"/>
        <v xml:space="preserve"> </v>
      </c>
    </row>
    <row r="342" spans="1:14">
      <c r="A342" s="45" t="str">
        <f t="shared" si="30"/>
        <v>SLEDcheckreq__,</v>
      </c>
      <c r="B342" s="46" t="str">
        <f t="shared" si="31"/>
        <v>SledRecreq__,</v>
      </c>
      <c r="C342" s="39" t="s">
        <v>38</v>
      </c>
      <c r="D342" s="40" t="s">
        <v>37</v>
      </c>
      <c r="F342" s="41"/>
      <c r="G342" s="117" t="s">
        <v>35</v>
      </c>
      <c r="H342" s="117" t="s">
        <v>35</v>
      </c>
      <c r="I342" s="47"/>
      <c r="J342" s="49" t="s">
        <v>36</v>
      </c>
      <c r="K342" s="43"/>
      <c r="M342" s="30" t="str">
        <f t="shared" si="32"/>
        <v>,</v>
      </c>
      <c r="N342" s="32" t="str">
        <f t="shared" si="33"/>
        <v xml:space="preserve"> </v>
      </c>
    </row>
    <row r="343" spans="1:14">
      <c r="A343" s="119" t="str">
        <f t="shared" si="30"/>
        <v>SLEDcheckreq__,</v>
      </c>
      <c r="B343" s="120" t="str">
        <f t="shared" si="31"/>
        <v>SledRecreq__,</v>
      </c>
      <c r="C343" s="39" t="s">
        <v>38</v>
      </c>
      <c r="D343" s="40" t="s">
        <v>37</v>
      </c>
      <c r="F343" s="41"/>
      <c r="G343" s="118" t="s">
        <v>35</v>
      </c>
      <c r="H343" s="118" t="s">
        <v>35</v>
      </c>
      <c r="I343" s="48"/>
      <c r="J343" s="50" t="s">
        <v>36</v>
      </c>
      <c r="K343" s="44"/>
      <c r="M343" s="116" t="str">
        <f t="shared" si="32"/>
        <v>,</v>
      </c>
      <c r="N343" s="33" t="str">
        <f t="shared" si="33"/>
        <v xml:space="preserve"> </v>
      </c>
    </row>
  </sheetData>
  <sheetProtection formatCells="0" formatColumns="0" formatRows="0" insertColumns="0" insertRows="0" insertHyperlinks="0" deleteColumns="0" deleteRows="0" sort="0" autoFilter="0" pivotTables="0"/>
  <mergeCells count="3">
    <mergeCell ref="P99:P101"/>
    <mergeCell ref="R97:V97"/>
    <mergeCell ref="R98:V105"/>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B9DD8-FEAE-4E2A-B55A-FB21382A9D6F}">
  <sheetPr codeName="Sheet11">
    <pageSetUpPr autoPageBreaks="0"/>
  </sheetPr>
  <dimension ref="A1:J14"/>
  <sheetViews>
    <sheetView workbookViewId="0">
      <selection activeCell="B15" sqref="B15"/>
    </sheetView>
  </sheetViews>
  <sheetFormatPr defaultRowHeight="15"/>
  <cols>
    <col min="1" max="1" width="18.140625" style="253" customWidth="1"/>
  </cols>
  <sheetData>
    <row r="1" spans="1:10" ht="15.75" thickBot="1">
      <c r="A1" s="496" t="s">
        <v>14</v>
      </c>
    </row>
    <row r="2" spans="1:10" ht="19.5" thickBot="1">
      <c r="A2" s="253" t="s">
        <v>327</v>
      </c>
      <c r="G2" s="490" t="s">
        <v>933</v>
      </c>
      <c r="H2" s="491"/>
      <c r="I2" s="491"/>
      <c r="J2" s="491"/>
    </row>
    <row r="3" spans="1:10" ht="15" customHeight="1">
      <c r="A3" s="253" t="s">
        <v>15</v>
      </c>
      <c r="G3" s="488" t="s">
        <v>935</v>
      </c>
      <c r="H3" s="489"/>
      <c r="I3" s="489"/>
      <c r="J3" s="489"/>
    </row>
    <row r="4" spans="1:10">
      <c r="A4" s="253" t="s">
        <v>16</v>
      </c>
      <c r="G4" s="480"/>
      <c r="H4" s="481"/>
      <c r="I4" s="481"/>
      <c r="J4" s="481"/>
    </row>
    <row r="5" spans="1:10">
      <c r="A5" s="253" t="s">
        <v>17</v>
      </c>
      <c r="G5" s="480"/>
      <c r="H5" s="481"/>
      <c r="I5" s="481"/>
      <c r="J5" s="481"/>
    </row>
    <row r="6" spans="1:10">
      <c r="A6" s="253" t="s">
        <v>20</v>
      </c>
      <c r="G6" s="480"/>
      <c r="H6" s="481"/>
      <c r="I6" s="481"/>
      <c r="J6" s="481"/>
    </row>
    <row r="7" spans="1:10">
      <c r="A7" s="253" t="s">
        <v>42</v>
      </c>
      <c r="G7" s="480"/>
      <c r="H7" s="481"/>
      <c r="I7" s="481"/>
      <c r="J7" s="481"/>
    </row>
    <row r="8" spans="1:10">
      <c r="A8" s="253" t="s">
        <v>45</v>
      </c>
      <c r="G8" s="480"/>
      <c r="H8" s="481"/>
      <c r="I8" s="481"/>
      <c r="J8" s="481"/>
    </row>
    <row r="9" spans="1:10">
      <c r="A9" s="253" t="s">
        <v>54</v>
      </c>
    </row>
    <row r="10" spans="1:10">
      <c r="A10" s="253" t="s">
        <v>105</v>
      </c>
    </row>
    <row r="11" spans="1:10">
      <c r="A11" s="253" t="s">
        <v>782</v>
      </c>
    </row>
    <row r="12" spans="1:10">
      <c r="A12" s="253" t="s">
        <v>295</v>
      </c>
    </row>
    <row r="13" spans="1:10">
      <c r="A13" s="253" t="s">
        <v>338</v>
      </c>
    </row>
    <row r="14" spans="1:10">
      <c r="A14" s="253" t="s">
        <v>896</v>
      </c>
    </row>
  </sheetData>
  <mergeCells count="2">
    <mergeCell ref="G2:J2"/>
    <mergeCell ref="G3:J8"/>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60C79CDC6EB424DA072B499500A650C" ma:contentTypeVersion="13" ma:contentTypeDescription="Create a new document." ma:contentTypeScope="" ma:versionID="942e42b579962de618ef73ac9db66170">
  <xsd:schema xmlns:xsd="http://www.w3.org/2001/XMLSchema" xmlns:xs="http://www.w3.org/2001/XMLSchema" xmlns:p="http://schemas.microsoft.com/office/2006/metadata/properties" xmlns:ns3="3aa51a9f-801b-4838-97d9-7f3038e9c3bb" xmlns:ns4="64cf97ef-ffd9-4019-bcc4-ef9f25173b41" targetNamespace="http://schemas.microsoft.com/office/2006/metadata/properties" ma:root="true" ma:fieldsID="7bde0deed4039655544cbf5b2c7ec3bd" ns3:_="" ns4:_="">
    <xsd:import namespace="3aa51a9f-801b-4838-97d9-7f3038e9c3bb"/>
    <xsd:import namespace="64cf97ef-ffd9-4019-bcc4-ef9f25173b4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LengthInSeconds" minOccurs="0"/>
                <xsd:element ref="ns4:MediaServiceAutoTags" minOccurs="0"/>
                <xsd:element ref="ns4:MediaServiceOCR"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aa51a9f-801b-4838-97d9-7f3038e9c3b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4cf97ef-ffd9-4019-bcc4-ef9f25173b4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LengthInSeconds" ma:index="14" nillable="true" ma:displayName="Length (seconds)"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5012E3-91EF-464A-A50B-AFEFA6CC3046}">
  <ds:schemaRefs>
    <ds:schemaRef ds:uri="http://purl.org/dc/dcmitype/"/>
    <ds:schemaRef ds:uri="http://schemas.microsoft.com/office/2006/metadata/properties"/>
    <ds:schemaRef ds:uri="http://schemas.microsoft.com/office/2006/documentManagement/types"/>
    <ds:schemaRef ds:uri="64cf97ef-ffd9-4019-bcc4-ef9f25173b41"/>
    <ds:schemaRef ds:uri="http://purl.org/dc/terms/"/>
    <ds:schemaRef ds:uri="http://www.w3.org/XML/1998/namespace"/>
    <ds:schemaRef ds:uri="http://schemas.microsoft.com/office/infopath/2007/PartnerControls"/>
    <ds:schemaRef ds:uri="http://schemas.openxmlformats.org/package/2006/metadata/core-properties"/>
    <ds:schemaRef ds:uri="3aa51a9f-801b-4838-97d9-7f3038e9c3bb"/>
    <ds:schemaRef ds:uri="http://purl.org/dc/elements/1.1/"/>
  </ds:schemaRefs>
</ds:datastoreItem>
</file>

<file path=customXml/itemProps2.xml><?xml version="1.0" encoding="utf-8"?>
<ds:datastoreItem xmlns:ds="http://schemas.openxmlformats.org/officeDocument/2006/customXml" ds:itemID="{3B168112-D6CB-4EFA-9F4B-889B1979C7C7}">
  <ds:schemaRefs>
    <ds:schemaRef ds:uri="http://schemas.microsoft.com/sharepoint/v3/contenttype/forms"/>
  </ds:schemaRefs>
</ds:datastoreItem>
</file>

<file path=customXml/itemProps3.xml><?xml version="1.0" encoding="utf-8"?>
<ds:datastoreItem xmlns:ds="http://schemas.openxmlformats.org/officeDocument/2006/customXml" ds:itemID="{93A3D445-E2C5-4ED8-924F-51BD35B1F7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aa51a9f-801b-4838-97d9-7f3038e9c3bb"/>
    <ds:schemaRef ds:uri="64cf97ef-ffd9-4019-bcc4-ef9f25173b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main_pending_ids_backup</vt:lpstr>
      <vt:lpstr>main_pending_ids</vt:lpstr>
      <vt:lpstr>Sheet1</vt:lpstr>
      <vt:lpstr>すどく_2</vt:lpstr>
      <vt:lpstr>すどく</vt:lpstr>
      <vt:lpstr>CONCAT STDB</vt:lpstr>
      <vt:lpstr>FORMATTERORIGINAL</vt:lpstr>
      <vt:lpstr>FUNCTIONING TESTS</vt:lpstr>
      <vt:lpstr>FORMATTER</vt:lpstr>
      <vt:lpstr>sc stdb names</vt:lpstr>
      <vt:lpstr>dropdown</vt:lpstr>
      <vt:lpstr>list_1thru9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 Schwartz</dc:creator>
  <cp:lastModifiedBy>Kara Schwartz</cp:lastModifiedBy>
  <dcterms:created xsi:type="dcterms:W3CDTF">2021-08-25T16:05:00Z</dcterms:created>
  <dcterms:modified xsi:type="dcterms:W3CDTF">2022-09-22T16:51:37Z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0x010100760C79CDC6EB424DA072B499500A650C</vt:lpwstr>
  </property>
</Properties>
</file>